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style1.xml" ContentType="application/vnd.ms-office.chartstyle+xml"/>
  <Override PartName="/xl/charts/colors1.xml" ContentType="application/vnd.ms-office.chartcolorstyle+xml"/>
  <Override PartName="/xl/charts/chart5.xml" ContentType="application/vnd.openxmlformats-officedocument.drawingml.chart+xml"/>
  <Override PartName="/xl/charts/style2.xml" ContentType="application/vnd.ms-office.chartstyle+xml"/>
  <Override PartName="/xl/charts/colors2.xml" ContentType="application/vnd.ms-office.chartcolorstyle+xml"/>
  <Override PartName="/xl/charts/chart6.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12.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3.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C:\Users\lasya\Downloads\"/>
    </mc:Choice>
  </mc:AlternateContent>
  <xr:revisionPtr revIDLastSave="0" documentId="8_{7F1C76E3-EA8E-46D8-8106-604074DBF28C}" xr6:coauthVersionLast="47" xr6:coauthVersionMax="47" xr10:uidLastSave="{00000000-0000-0000-0000-000000000000}"/>
  <bookViews>
    <workbookView xWindow="-108" yWindow="-108" windowWidth="23256" windowHeight="12456" firstSheet="2" activeTab="2" xr2:uid="{8D779BE4-BF5C-4CDC-BFD4-040F9E27BFEE}"/>
  </bookViews>
  <sheets>
    <sheet name="Project Summary" sheetId="37" r:id="rId1"/>
    <sheet name="Dashboard" sheetId="31" r:id="rId2"/>
    <sheet name="Clean_Financials" sheetId="8" r:id="rId3"/>
    <sheet name="KPI" sheetId="22" r:id="rId4"/>
    <sheet name="Revenue Trend" sheetId="25" r:id="rId5"/>
    <sheet name="Gross Margin Trend" sheetId="26" r:id="rId6"/>
    <sheet name="Operating Margin" sheetId="27" r:id="rId7"/>
    <sheet name="Net profit Margin Trend" sheetId="28" r:id="rId8"/>
    <sheet name="Operating Cash Flow " sheetId="29" r:id="rId9"/>
    <sheet name="Financial Health A" sheetId="32" r:id="rId10"/>
    <sheet name="Financial Health B" sheetId="33" r:id="rId11"/>
  </sheets>
  <definedNames>
    <definedName name="Slicer_Company">#N/A</definedName>
    <definedName name="Slicer_Period">#N/A</definedName>
  </definedNames>
  <calcPr calcId="191029" iterateDelta="1E-4"/>
  <pivotCaches>
    <pivotCache cacheId="6" r:id="rId12"/>
    <pivotCache cacheId="11"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008  Page 8_e06de5e0-cf55-4ce5-905b-f2caed18228a" name="Table008  Page 8" connection="Query - Table008 (Page 8)"/>
          <x15:modelTable id="Table009  Page 9_725ab7a8-1f3a-4201-adf4-77cb3a74551a" name="Table009  Page 9" connection="Query - Table009 (Page 9)"/>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M5" i="31" l="1"/>
  <c r="K19" i="22"/>
  <c r="J19" i="22"/>
  <c r="I19" i="22"/>
  <c r="H19" i="22"/>
  <c r="G19" i="22"/>
  <c r="F19" i="22"/>
  <c r="E19" i="22"/>
  <c r="K18" i="22"/>
  <c r="J18" i="22"/>
  <c r="I18" i="22"/>
  <c r="H18" i="22"/>
  <c r="G18" i="22"/>
  <c r="F18" i="22"/>
  <c r="E18" i="22"/>
  <c r="K17" i="22"/>
  <c r="J17" i="22"/>
  <c r="I17" i="22"/>
  <c r="H17" i="22"/>
  <c r="G17" i="22"/>
  <c r="F17" i="22"/>
  <c r="E17" i="22"/>
  <c r="K16" i="22"/>
  <c r="J16" i="22"/>
  <c r="I16" i="22"/>
  <c r="H16" i="22"/>
  <c r="G16" i="22"/>
  <c r="F16" i="22"/>
  <c r="E16" i="22"/>
  <c r="K15" i="22"/>
  <c r="J15" i="22"/>
  <c r="I15" i="22"/>
  <c r="H15" i="22"/>
  <c r="G15" i="22"/>
  <c r="F15" i="22"/>
  <c r="E15" i="22"/>
  <c r="K14" i="22"/>
  <c r="J14" i="22"/>
  <c r="I14" i="22"/>
  <c r="H14" i="22"/>
  <c r="G14" i="22"/>
  <c r="F14" i="22"/>
  <c r="E14" i="22"/>
  <c r="K13" i="22"/>
  <c r="J13" i="22"/>
  <c r="I13" i="22"/>
  <c r="H13" i="22"/>
  <c r="G13" i="22"/>
  <c r="F13" i="22"/>
  <c r="E13" i="22"/>
  <c r="K12" i="22"/>
  <c r="J12" i="22"/>
  <c r="I12" i="22"/>
  <c r="H12" i="22"/>
  <c r="G12" i="22"/>
  <c r="F12" i="22"/>
  <c r="E12" i="22"/>
  <c r="J3" i="22"/>
  <c r="I3" i="22"/>
  <c r="H3" i="22"/>
  <c r="G3" i="22"/>
  <c r="F3" i="22"/>
  <c r="E3" i="22"/>
  <c r="D3" i="22"/>
  <c r="J2" i="22"/>
  <c r="I2" i="22"/>
  <c r="H2" i="22"/>
  <c r="G2" i="22"/>
  <c r="F2" i="22"/>
  <c r="E2" i="22"/>
  <c r="D2" i="22"/>
  <c r="F22" i="8"/>
  <c r="F21" i="8"/>
  <c r="F20" i="8"/>
  <c r="F19" i="8"/>
  <c r="N13" i="8"/>
  <c r="O13" i="8" s="1"/>
  <c r="N12" i="8"/>
  <c r="O12" i="8" s="1"/>
  <c r="N11" i="8"/>
  <c r="O11" i="8" s="1"/>
  <c r="N10" i="8"/>
  <c r="O10" i="8" s="1"/>
  <c r="K6" i="31" s="1"/>
  <c r="N9" i="8"/>
  <c r="O9" i="8" s="1"/>
  <c r="N8" i="8"/>
  <c r="O8" i="8" s="1"/>
  <c r="N7" i="8"/>
  <c r="O7" i="8" s="1"/>
  <c r="N6" i="8"/>
  <c r="O6" i="8" s="1"/>
  <c r="K5" i="31" s="1"/>
  <c r="O6" i="31"/>
  <c r="N6" i="31"/>
  <c r="M6" i="31"/>
  <c r="L6" i="31"/>
  <c r="O5" i="31"/>
  <c r="N5" i="31"/>
  <c r="L5" i="3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C5F0789-485C-4F87-B7E4-E9F9A79BAFDF}" name="Query - Table008 (Page 8)" description="Connection to the 'Table008 (Page 8)' query in the workbook." type="100" refreshedVersion="8" minRefreshableVersion="5">
    <extLst>
      <ext xmlns:x15="http://schemas.microsoft.com/office/spreadsheetml/2010/11/main" uri="{DE250136-89BD-433C-8126-D09CA5730AF9}">
        <x15:connection id="8bdb328c-d703-4142-b7e6-dffea0f83c3c"/>
      </ext>
    </extLst>
  </connection>
  <connection id="2" xr16:uid="{2C6B01F2-1183-469A-A12A-24B280F98EF7}" name="Query - Table009 (Page 9)" description="Connection to the 'Table009 (Page 9)' query in the workbook." type="100" refreshedVersion="8" minRefreshableVersion="5">
    <extLst>
      <ext xmlns:x15="http://schemas.microsoft.com/office/spreadsheetml/2010/11/main" uri="{DE250136-89BD-433C-8126-D09CA5730AF9}">
        <x15:connection id="149e1c14-5eb8-49ac-aae1-1e9e9ef611eb"/>
      </ext>
    </extLst>
  </connection>
  <connection id="3" xr16:uid="{2FC5AA57-F436-4D22-A8B6-43B683E25EAD}" keepAlive="1" name="Query - Table012 (Page 10)" description="Connection to the 'Table012 (Page 10)' query in the workbook." type="5" refreshedVersion="8" background="1" saveData="1">
    <dbPr connection="Provider=Microsoft.Mashup.OleDb.1;Data Source=$Workbook$;Location=&quot;Table012 (Page 10)&quot;;Extended Properties=&quot;&quot;" command="SELECT * FROM [Table012 (Page 10)]"/>
  </connection>
  <connection id="4" xr16:uid="{A1BCBC7C-3407-4BA0-9FDC-D8585B7180AF}" keepAlive="1" name="Query - Table013 (Page 8)" description="Connection to the 'Table013 (Page 8)' query in the workbook." type="5" refreshedVersion="0" background="1" saveData="1">
    <dbPr connection="Provider=Microsoft.Mashup.OleDb.1;Data Source=$Workbook$;Location=&quot;Table013 (Page 8)&quot;;Extended Properties=&quot;&quot;" command="SELECT * FROM [Table013 (Page 8)]"/>
  </connection>
  <connection id="5" xr16:uid="{48ED8F45-9D80-4CCE-A051-9D4FD47DEF3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<sst xmlns="http://schemas.openxmlformats.org/spreadsheetml/2006/main" count="273" uniqueCount="108">
  <si>
    <t>Revenue</t>
  </si>
  <si>
    <t>Company</t>
  </si>
  <si>
    <t>Period</t>
  </si>
  <si>
    <t>Currency</t>
  </si>
  <si>
    <t>Gross Profit</t>
  </si>
  <si>
    <t>Net Income</t>
  </si>
  <si>
    <t>Current Assets</t>
  </si>
  <si>
    <t>Current Liabilities</t>
  </si>
  <si>
    <t>Total Assets</t>
  </si>
  <si>
    <t>Total Liabilities</t>
  </si>
  <si>
    <t>Operating Cash Flow</t>
  </si>
  <si>
    <t>Ending Cash</t>
  </si>
  <si>
    <t>Nike</t>
  </si>
  <si>
    <t>Adidas</t>
  </si>
  <si>
    <t>Q1 FY2026</t>
  </si>
  <si>
    <t>Q1 2026</t>
  </si>
  <si>
    <t>USD millions</t>
  </si>
  <si>
    <t>EUR millions</t>
  </si>
  <si>
    <t>Operating Income/EBIT</t>
  </si>
  <si>
    <t>Gross Profit Margin</t>
  </si>
  <si>
    <t>Current Ratio</t>
  </si>
  <si>
    <t>Debt-to-Assets</t>
  </si>
  <si>
    <t>Operating Cash Flow Margin</t>
  </si>
  <si>
    <t>Net Profit Margin</t>
  </si>
  <si>
    <t>Row Labels</t>
  </si>
  <si>
    <t>Sum of Revenue (USD M)</t>
  </si>
  <si>
    <t>Average of Operating Cash Flow Margin</t>
  </si>
  <si>
    <t>Column Labels</t>
  </si>
  <si>
    <t>Average of Gross Profit Margin</t>
  </si>
  <si>
    <t>Average of Current Ratio</t>
  </si>
  <si>
    <t>Average of Net Profit Margin</t>
  </si>
  <si>
    <t>Average of Debt-to-Assets</t>
  </si>
  <si>
    <t>Q1 2025</t>
  </si>
  <si>
    <t>Q2 2025</t>
  </si>
  <si>
    <t>Q3 2025</t>
  </si>
  <si>
    <t>Q4 2025</t>
  </si>
  <si>
    <t>Cash-to-Revenue Ratio</t>
  </si>
  <si>
    <t>Operating Margin</t>
  </si>
  <si>
    <t>Average of Operating Margin</t>
  </si>
  <si>
    <t>Nike vs Adidas Retail Financial Performance Dashboard</t>
  </si>
  <si>
    <t>Nike FY2025 (Jun 2024–May 2025) vs Adidas FY2025 (Jan–Dec 2025) | All revenue in USD millions</t>
  </si>
  <si>
    <t>Net Margin</t>
  </si>
  <si>
    <t>OCF Margin</t>
  </si>
  <si>
    <t>Gross Margin</t>
  </si>
  <si>
    <t>Full-Year Summary KPIs (FY2025)</t>
  </si>
  <si>
    <t>Key Business Insights</t>
  </si>
  <si>
    <t>Note: Adidas revenue is converted from EUR to USD at each quarter's average EUR/USD rate (see Clean_Financials). Margins and ratios use each company's own currency, so they need no conversion. Nike's fiscal year runs June–May, so "Q1 2025" means Nike Q1 FY2025 (Jun–Aug 2024) and Adidas Q1 2025 (Jan–Mar 2025).</t>
  </si>
  <si>
    <t>2. Adidas earned higher gross margins every quarter (51.6% vs. 42.7% for the full year), showing stronger product-level profitability.</t>
  </si>
  <si>
    <t>Company</t>
  </si>
  <si>
    <t>Revenue (USD M)</t>
  </si>
  <si>
    <t>1. Nike generated about 1.65x Adidas's revenue ($46.3B vs. $28.0B after converting Adidas to USD) and kept a stronger current ratio (about 2.2 vs. 1.3) every quarter.</t>
  </si>
  <si>
    <t>3. Nike's operating margin fell each quarter after Q2, from 11.3% to 2.7% in Q4, showing its operating profitability weakened in the second half of its fiscal year.</t>
  </si>
  <si>
    <t>4. Adidas's operating cash flow margin improved every quarter, from -15.2% in Q1 to 16.9% in Q4, showing stronger cash generation from normal operations later in the year.</t>
  </si>
  <si>
    <t>Project Goal</t>
  </si>
  <si>
    <t>This project compares Nike's and Adidas's FY2025 quarterly financial performance using revenue, profitability, liquidity, leverage, and cash flow metrics. The goal was to compare both companies' retail financial performance and identify business trends using Excel.</t>
  </si>
  <si>
    <t>Tools Used</t>
  </si>
  <si>
    <t>Microsoft Excel, PivotTables, PivotCharts, slicers, formulas, financial ratios, dashboard design</t>
  </si>
  <si>
    <t>Data Used</t>
  </si>
  <si>
    <t>Key Metrics Analyzed</t>
  </si>
  <si>
    <t>Debt-to-Assets Ratio</t>
  </si>
  <si>
    <t>Skills Demonstrated</t>
  </si>
  <si>
    <t>Data cleaning</t>
  </si>
  <si>
    <t>Financial statement analysis</t>
  </si>
  <si>
    <t>Excel formulas</t>
  </si>
  <si>
    <t>PivotTables</t>
  </si>
  <si>
    <t>PivotCharts</t>
  </si>
  <si>
    <t>Slicers</t>
  </si>
  <si>
    <t>KPI dashboard design</t>
  </si>
  <si>
    <t>Business insight development</t>
  </si>
  <si>
    <t>Competitive analysis</t>
  </si>
  <si>
    <t>How to Use the Dashboard</t>
  </si>
  <si>
    <t>Use the Company slicer to filter between Nike and Adidas.</t>
  </si>
  <si>
    <t>Use the Period slicer to filter by quarter.</t>
  </si>
  <si>
    <t>Review the KPI cards for full-year revenue (in USD) and margins for each company.</t>
  </si>
  <si>
    <t>Use the trend charts to compare revenue, margins, liquidity, leverage, and operating cash flow performance.</t>
  </si>
  <si>
    <t>Nike Q1–Q4 FY2025 quarterly earnings releases (fiscal year June 2024–May 2025) and Adidas Q1–Q4 2025 quarterly results (calendar year 2025). Nike reports in USD; Adidas reports in EUR. Adidas revenue is converted to USD at quarterly average EUR/USD rates so revenue can be compared directly. Margins and ratios are currency-neutral.</t>
  </si>
  <si>
    <t>Project Outcome</t>
  </si>
  <si>
    <t>5. Adidas had a higher debt-to-assets ratio every quarter (about 70% vs. 63%), meaning it relies more on liabilities to finance its assets.</t>
  </si>
  <si>
    <t>Created an interactive Excel dashboard that compares Nike and Adidas across revenue, profitability, liquidity, leverage, and cash flow trends. The dashboard highlights financial strengths, weaknesses, and competitive differences between both companies.</t>
  </si>
  <si>
    <t>Data Notes and Sources</t>
  </si>
  <si>
    <t>Nike operating income uses the EBIT figure Nike reports in its quarterly earnings releases. Adidas uses reported operating profit.</t>
  </si>
  <si>
    <t>Nike's fiscal year runs June–May, so Nike's quarters cover different months than Adidas's calendar quarters. The comparison is fiscal year to fiscal year.</t>
  </si>
  <si>
    <t>EUR/USD rates: monthly averages for 2025 from x-rates.com, averaged by quarter (see Clean_Financials).</t>
  </si>
  <si>
    <t>Sources: Nike quarterly earnings releases (SEC EDGAR, Form 8-K Exhibit 99.1); Adidas quarterly results releases.</t>
  </si>
  <si>
    <t>FX Rate to USD</t>
  </si>
  <si>
    <t>EUR/USD exchange rates (used to convert Adidas revenue to USD)</t>
  </si>
  <si>
    <t>Inputs in blue = monthly average USD per 1 EUR. Quarterly rate = average of the three months.</t>
  </si>
  <si>
    <t>Month</t>
  </si>
  <si>
    <t>Quarter</t>
  </si>
  <si>
    <t>USD per EUR</t>
  </si>
  <si>
    <t>Avg USD per EUR</t>
  </si>
  <si>
    <t>Jan 2025</t>
  </si>
  <si>
    <t>Feb 2025</t>
  </si>
  <si>
    <t>Mar 2025</t>
  </si>
  <si>
    <t>Apr 2025</t>
  </si>
  <si>
    <t>May 2025</t>
  </si>
  <si>
    <t>Jun 2025</t>
  </si>
  <si>
    <t>Jul 2025</t>
  </si>
  <si>
    <t>Aug 2025</t>
  </si>
  <si>
    <t>Sep 2025</t>
  </si>
  <si>
    <t>Oct 2025</t>
  </si>
  <si>
    <t>Nov 2025</t>
  </si>
  <si>
    <t>Dec 2025</t>
  </si>
  <si>
    <t>Data notes</t>
  </si>
  <si>
    <t>FX source: monthly average EUR to USD rates for 2025, x-rates.com (https://www.x-rates.com/average/?from=EUR&amp;to=USD&amp;amount=1&amp;year=2025).</t>
  </si>
  <si>
    <t>Nike Operating Income/EBIT = EBIT as reported in Nike's quarterly earnings releases (Nike does not report an operating income line). Adidas = operating profit.</t>
  </si>
  <si>
    <t>Nike's fiscal year runs June–May: Nike "Q1 2025" = Q1 FY2025 (Jun–Aug 2024) through "Q4 2025" = Q4 FY2025 (Mar–May 2025). Adidas's fiscal year is the calendar year.</t>
  </si>
  <si>
    <t>Rows 1–3 hold the most recent quarter (Nike Q1 FY2026, Adidas Q1 2026) for reference. They are not used in the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</si>
</sst>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0.0%"/>
    <numFmt numFmtId="165" formatCode="&quot;$&quot;#,##0&quot;M&quot;"/>
    <numFmt numFmtId="166" formatCode="0.0000"/>
  </numFmts>
  <fonts count="15" x14ac:knownFonts="1">
    <font>
      <sz val="11"/>
      <color theme="1"/>
      <name val="Aptos Narrow"/>
      <family val="2"/>
      <scheme val="minor"/>
    </font>
    <font>
      <sz val="11"/>
      <color theme="1"/>
      <name val="Aptos Narrow"/>
      <family val="2"/>
      <scheme val="minor"/>
    </font>
    <font>
      <b/>
      <sz val="11"/>
      <color theme="1"/>
      <name val="Aptos Narrow"/>
      <family val="2"/>
      <scheme val="minor"/>
    </font>
    <font>
      <b/>
      <sz val="11"/>
      <color theme="4" tint="-0.249977111117893"/>
      <name val="Aptos Narrow"/>
      <family val="2"/>
      <scheme val="minor"/>
    </font>
    <font>
      <sz val="11"/>
      <color theme="4" tint="-0.249977111117893"/>
      <name val="Aptos Narrow"/>
      <family val="2"/>
      <scheme val="minor"/>
    </font>
    <font>
      <b/>
      <sz val="16"/>
      <color theme="1"/>
      <name val="Aptos Narrow"/>
      <family val="2"/>
      <scheme val="minor"/>
    </font>
    <font>
      <b/>
      <sz val="18"/>
      <color theme="1"/>
      <name val="Aptos Narrow"/>
      <family val="2"/>
      <scheme val="minor"/>
    </font>
    <font>
      <sz val="14"/>
      <color theme="1"/>
      <name val="Aptos Narrow"/>
      <family val="2"/>
      <scheme val="minor"/>
    </font>
    <font>
      <sz val="12"/>
      <color theme="1"/>
      <name val="Aptos Narrow"/>
      <family val="2"/>
      <scheme val="minor"/>
    </font>
    <font>
      <b/>
      <sz val="14"/>
      <color theme="1"/>
      <name val="Aptos Narrow"/>
      <family val="2"/>
      <scheme val="minor"/>
    </font>
    <font>
      <b/>
      <sz val="22"/>
      <color theme="1"/>
      <name val="Aptos Narrow"/>
      <family val="2"/>
      <scheme val="minor"/>
    </font>
    <font>
      <sz val="14"/>
      <name val="Aptos Narrow"/>
      <family val="2"/>
      <scheme val="minor"/>
    </font>
    <font>
      <b/>
      <sz val="14"/>
      <name val="Aptos Narrow"/>
      <family val="2"/>
      <scheme val="minor"/>
    </font>
    <font>
      <sz val="11"/>
      <color rgb="FF0000FF"/>
      <name val="Aptos Narrow"/>
      <family val="2"/>
      <scheme val="minor"/>
    </font>
    <font>
      <i/>
      <sz val="10"/>
      <color rgb="FF595959"/>
      <name val="Aptos Narrow"/>
      <family val="2"/>
      <scheme val="minor"/>
    </font>
  </fonts>
  <fills count="8">
    <fill>
      <patternFill patternType="none"/>
    </fill>
    <fill>
      <patternFill patternType="gray125"/>
    </fill>
    <fill>
      <patternFill patternType="solid">
        <fgColor theme="4" tint="0.79998168889431442"/>
        <bgColor theme="4" tint="0.79998168889431442"/>
      </patternFill>
    </fill>
    <fill>
      <patternFill patternType="solid">
        <fgColor theme="0"/>
        <bgColor theme="4" tint="0.79998168889431442"/>
      </patternFill>
    </fill>
    <fill>
      <patternFill patternType="solid">
        <fgColor theme="0"/>
        <bgColor indexed="64"/>
      </patternFill>
    </fill>
    <fill>
      <patternFill patternType="solid">
        <fgColor theme="7" tint="0.79998168889431442"/>
        <bgColor indexed="64"/>
      </patternFill>
    </fill>
    <fill>
      <patternFill patternType="solid">
        <fgColor theme="7" tint="0.79998168889431442"/>
        <bgColor theme="4" tint="0.79998168889431442"/>
      </patternFill>
    </fill>
    <fill>
      <patternFill patternType="solid">
        <fgColor theme="9" tint="0.79998168889431442"/>
        <bgColor indexed="64"/>
      </patternFill>
    </fill>
  </fills>
  <borders count="22">
    <border>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theme="4"/>
      </left>
      <right style="thin">
        <color theme="4"/>
      </right>
      <top style="thin">
        <color theme="4"/>
      </top>
      <bottom style="medium">
        <color theme="4"/>
      </bottom>
      <diagonal/>
    </border>
    <border>
      <left style="thin">
        <color theme="4"/>
      </left>
      <right style="thin">
        <color theme="4"/>
      </right>
      <top style="thin">
        <color theme="4"/>
      </top>
      <bottom style="thin">
        <color theme="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theme="4"/>
      </right>
      <top style="thin">
        <color theme="4"/>
      </top>
      <bottom style="thin">
        <color theme="4"/>
      </bottom>
      <diagonal/>
    </border>
    <border>
      <left style="thin">
        <color theme="4"/>
      </left>
      <right/>
      <top style="thin">
        <color theme="4"/>
      </top>
      <bottom style="thin">
        <color theme="4"/>
      </bottom>
      <diagonal/>
    </border>
    <border>
      <left/>
      <right style="thin">
        <color theme="4"/>
      </right>
      <top/>
      <bottom style="medium">
        <color theme="4"/>
      </bottom>
      <diagonal/>
    </border>
    <border>
      <left style="thin">
        <color theme="4"/>
      </left>
      <right style="thin">
        <color theme="4"/>
      </right>
      <top/>
      <bottom style="medium">
        <color theme="4"/>
      </bottom>
      <diagonal/>
    </border>
    <border>
      <left style="thin">
        <color theme="4"/>
      </left>
      <right/>
      <top/>
      <bottom style="medium">
        <color theme="4"/>
      </bottom>
      <diagonal/>
    </border>
    <border>
      <left style="thin">
        <color theme="4"/>
      </left>
      <right style="thin">
        <color theme="4"/>
      </right>
      <top style="thin">
        <color theme="4"/>
      </top>
      <bottom/>
      <diagonal/>
    </border>
    <border>
      <left style="thin">
        <color theme="4"/>
      </left>
      <right/>
      <top style="thin">
        <color theme="4"/>
      </top>
      <bottom/>
      <diagonal/>
    </border>
    <border>
      <left style="thin">
        <color indexed="64"/>
      </left>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3">
    <xf numFmtId="0" fontId="0" fillId="0" borderId="0"/>
    <xf numFmtId="9" fontId="1" fillId="0" borderId="0" applyFont="0" applyFill="0" applyBorder="0" applyAlignment="0" applyProtection="0"/>
    <xf numFmtId="44" fontId="1" fillId="0" borderId="0" applyFont="0" applyFill="0" applyBorder="0" applyAlignment="0" applyProtection="0"/>
  </cellStyleXfs>
  <cellXfs count="98">
    <xf numFmtId="0" fontId="0" fillId="0" borderId="0" xfId="0"/>
    <xf numFmtId="0" fontId="0" fillId="0" borderId="0" xfId="0" applyAlignment="1">
      <alignment wrapText="1"/>
    </xf>
    <xf numFmtId="0" fontId="0" fillId="0" borderId="1" xfId="0" applyBorder="1"/>
    <xf numFmtId="0" fontId="0" fillId="0" borderId="2" xfId="0" applyBorder="1"/>
    <xf numFmtId="0" fontId="0" fillId="0" borderId="3" xfId="0" applyBorder="1"/>
    <xf numFmtId="0" fontId="0" fillId="2" borderId="5" xfId="0" applyFill="1" applyBorder="1"/>
    <xf numFmtId="0" fontId="0" fillId="0" borderId="0" xfId="0" pivotButton="1"/>
    <xf numFmtId="0" fontId="0" fillId="0" borderId="0" xfId="0" applyAlignment="1">
      <alignment horizontal="left"/>
    </xf>
    <xf numFmtId="2" fontId="0" fillId="0" borderId="0" xfId="0" applyNumberFormat="1"/>
    <xf numFmtId="0" fontId="2" fillId="0" borderId="0" xfId="0" applyFont="1"/>
    <xf numFmtId="0" fontId="0" fillId="0" borderId="9" xfId="0" applyBorder="1"/>
    <xf numFmtId="0" fontId="0" fillId="0" borderId="6" xfId="0" applyBorder="1"/>
    <xf numFmtId="0" fontId="6" fillId="0" borderId="0" xfId="0" applyFont="1"/>
    <xf numFmtId="0" fontId="0" fillId="2" borderId="5" xfId="0" applyFill="1" applyBorder="1" applyAlignment="1">
      <alignment wrapText="1"/>
    </xf>
    <xf numFmtId="0" fontId="0" fillId="2" borderId="10" xfId="0" applyFill="1" applyBorder="1"/>
    <xf numFmtId="0" fontId="2" fillId="0" borderId="12" xfId="0" applyFont="1" applyBorder="1"/>
    <xf numFmtId="0" fontId="2" fillId="0" borderId="13" xfId="0" applyFont="1" applyBorder="1"/>
    <xf numFmtId="0" fontId="2" fillId="0" borderId="14" xfId="0" applyFont="1" applyBorder="1"/>
    <xf numFmtId="0" fontId="0" fillId="3" borderId="5" xfId="0" applyFill="1" applyBorder="1"/>
    <xf numFmtId="10" fontId="0" fillId="2" borderId="5" xfId="0" applyNumberFormat="1" applyFill="1" applyBorder="1"/>
    <xf numFmtId="10" fontId="0" fillId="3" borderId="5" xfId="0" applyNumberFormat="1" applyFill="1" applyBorder="1"/>
    <xf numFmtId="10" fontId="0" fillId="3" borderId="15" xfId="0" applyNumberFormat="1" applyFill="1" applyBorder="1"/>
    <xf numFmtId="2" fontId="0" fillId="2" borderId="5" xfId="0" applyNumberFormat="1" applyFill="1" applyBorder="1"/>
    <xf numFmtId="2" fontId="0" fillId="3" borderId="5" xfId="0" applyNumberFormat="1" applyFill="1" applyBorder="1"/>
    <xf numFmtId="2" fontId="0" fillId="3" borderId="15" xfId="0" applyNumberFormat="1" applyFill="1" applyBorder="1"/>
    <xf numFmtId="10" fontId="0" fillId="2" borderId="11" xfId="0" applyNumberFormat="1" applyFill="1" applyBorder="1"/>
    <xf numFmtId="10" fontId="0" fillId="3" borderId="11" xfId="0" applyNumberFormat="1" applyFill="1" applyBorder="1"/>
    <xf numFmtId="10" fontId="0" fillId="3" borderId="16" xfId="0" applyNumberFormat="1" applyFill="1" applyBorder="1"/>
    <xf numFmtId="0" fontId="3" fillId="0" borderId="4" xfId="0" applyFont="1" applyBorder="1"/>
    <xf numFmtId="0" fontId="4" fillId="2" borderId="5" xfId="0" applyFont="1" applyFill="1" applyBorder="1"/>
    <xf numFmtId="0" fontId="4" fillId="2" borderId="5" xfId="0" applyFont="1" applyFill="1" applyBorder="1" applyAlignment="1">
      <alignment wrapText="1"/>
    </xf>
    <xf numFmtId="10" fontId="4" fillId="2" borderId="5" xfId="0" applyNumberFormat="1" applyFont="1" applyFill="1" applyBorder="1"/>
    <xf numFmtId="2" fontId="4" fillId="2" borderId="5" xfId="0" applyNumberFormat="1" applyFont="1" applyFill="1" applyBorder="1"/>
    <xf numFmtId="10" fontId="4" fillId="3" borderId="5" xfId="0" applyNumberFormat="1" applyFont="1" applyFill="1" applyBorder="1"/>
    <xf numFmtId="2" fontId="4" fillId="3" borderId="5" xfId="0" applyNumberFormat="1" applyFont="1" applyFill="1" applyBorder="1"/>
    <xf numFmtId="0" fontId="4" fillId="4" borderId="5" xfId="0" applyFont="1" applyFill="1" applyBorder="1"/>
    <xf numFmtId="0" fontId="4" fillId="4" borderId="5" xfId="0" applyFont="1" applyFill="1" applyBorder="1" applyAlignment="1">
      <alignment wrapText="1"/>
    </xf>
    <xf numFmtId="0" fontId="0" fillId="5" borderId="5" xfId="0" applyFill="1" applyBorder="1"/>
    <xf numFmtId="0" fontId="0" fillId="5" borderId="5" xfId="0" applyFill="1" applyBorder="1" applyAlignment="1">
      <alignment wrapText="1"/>
    </xf>
    <xf numFmtId="10" fontId="0" fillId="5" borderId="5" xfId="0" applyNumberFormat="1" applyFill="1" applyBorder="1"/>
    <xf numFmtId="10" fontId="0" fillId="6" borderId="5" xfId="0" applyNumberFormat="1" applyFill="1" applyBorder="1"/>
    <xf numFmtId="2" fontId="0" fillId="6" borderId="5" xfId="0" applyNumberFormat="1" applyFill="1" applyBorder="1"/>
    <xf numFmtId="10" fontId="0" fillId="6" borderId="11" xfId="0" applyNumberFormat="1" applyFill="1" applyBorder="1"/>
    <xf numFmtId="0" fontId="0" fillId="6" borderId="5" xfId="0" applyFill="1" applyBorder="1"/>
    <xf numFmtId="0" fontId="0" fillId="6" borderId="5" xfId="0" applyFill="1" applyBorder="1" applyAlignment="1">
      <alignment wrapText="1"/>
    </xf>
    <xf numFmtId="0" fontId="0" fillId="3" borderId="5" xfId="0" applyFill="1" applyBorder="1" applyAlignment="1">
      <alignment wrapText="1"/>
    </xf>
    <xf numFmtId="10" fontId="0" fillId="4" borderId="5" xfId="0" applyNumberFormat="1" applyFill="1" applyBorder="1"/>
    <xf numFmtId="0" fontId="0" fillId="4" borderId="5" xfId="0" applyFill="1" applyBorder="1"/>
    <xf numFmtId="0" fontId="0" fillId="4" borderId="5" xfId="0" applyFill="1" applyBorder="1" applyAlignment="1">
      <alignment wrapText="1"/>
    </xf>
    <xf numFmtId="0" fontId="0" fillId="4" borderId="15" xfId="0" applyFill="1" applyBorder="1"/>
    <xf numFmtId="0" fontId="0" fillId="4" borderId="15" xfId="0" applyFill="1" applyBorder="1" applyAlignment="1">
      <alignment wrapText="1"/>
    </xf>
    <xf numFmtId="10" fontId="0" fillId="4" borderId="15" xfId="0" applyNumberFormat="1" applyFill="1" applyBorder="1"/>
    <xf numFmtId="10" fontId="0" fillId="0" borderId="0" xfId="0" applyNumberFormat="1"/>
    <xf numFmtId="0" fontId="0" fillId="5" borderId="0" xfId="0" applyFill="1"/>
    <xf numFmtId="0" fontId="0" fillId="5" borderId="0" xfId="0" applyFill="1" applyAlignment="1">
      <alignment wrapText="1"/>
    </xf>
    <xf numFmtId="0" fontId="0" fillId="4" borderId="0" xfId="0" applyFill="1"/>
    <xf numFmtId="0" fontId="0" fillId="4" borderId="0" xfId="0" applyFill="1" applyAlignment="1">
      <alignment wrapText="1"/>
    </xf>
    <xf numFmtId="0" fontId="7" fillId="0" borderId="0" xfId="0" applyFont="1"/>
    <xf numFmtId="1" fontId="0" fillId="2" borderId="5" xfId="0" applyNumberFormat="1" applyFill="1" applyBorder="1" applyAlignment="1">
      <alignment wrapText="1"/>
    </xf>
    <xf numFmtId="1" fontId="0" fillId="5" borderId="5" xfId="0" applyNumberFormat="1" applyFill="1" applyBorder="1" applyAlignment="1">
      <alignment wrapText="1"/>
    </xf>
    <xf numFmtId="1" fontId="0" fillId="6" borderId="5" xfId="0" applyNumberFormat="1" applyFill="1" applyBorder="1" applyAlignment="1">
      <alignment wrapText="1"/>
    </xf>
    <xf numFmtId="1" fontId="0" fillId="3" borderId="5" xfId="0" applyNumberFormat="1" applyFill="1" applyBorder="1" applyAlignment="1">
      <alignment wrapText="1"/>
    </xf>
    <xf numFmtId="1" fontId="0" fillId="4" borderId="5" xfId="0" applyNumberFormat="1" applyFill="1" applyBorder="1" applyAlignment="1">
      <alignment wrapText="1"/>
    </xf>
    <xf numFmtId="1" fontId="0" fillId="4" borderId="15" xfId="0" applyNumberFormat="1" applyFill="1" applyBorder="1" applyAlignment="1">
      <alignment wrapText="1"/>
    </xf>
    <xf numFmtId="0" fontId="9" fillId="0" borderId="0" xfId="0" applyFont="1"/>
    <xf numFmtId="0" fontId="10" fillId="0" borderId="0" xfId="0" applyFont="1" applyAlignment="1">
      <alignment horizontal="left"/>
    </xf>
    <xf numFmtId="0" fontId="10" fillId="0" borderId="7" xfId="0" applyFont="1" applyBorder="1"/>
    <xf numFmtId="0" fontId="12" fillId="7" borderId="19" xfId="0" applyFont="1" applyFill="1" applyBorder="1" applyAlignment="1">
      <alignment horizontal="center"/>
    </xf>
    <xf numFmtId="0" fontId="12" fillId="7" borderId="18" xfId="0" applyFont="1" applyFill="1" applyBorder="1" applyAlignment="1">
      <alignment horizontal="center"/>
    </xf>
    <xf numFmtId="0" fontId="12" fillId="7" borderId="20" xfId="0" applyFont="1" applyFill="1" applyBorder="1" applyAlignment="1">
      <alignment horizontal="center"/>
    </xf>
    <xf numFmtId="164" fontId="11" fillId="4" borderId="2" xfId="1" applyNumberFormat="1" applyFont="1" applyFill="1" applyBorder="1" applyAlignment="1">
      <alignment horizontal="center"/>
    </xf>
    <xf numFmtId="164" fontId="11" fillId="4" borderId="3" xfId="1" applyNumberFormat="1" applyFont="1" applyFill="1" applyBorder="1" applyAlignment="1">
      <alignment horizontal="center"/>
    </xf>
    <xf numFmtId="165" fontId="11" fillId="4" borderId="21" xfId="2" applyNumberFormat="1" applyFont="1" applyFill="1" applyBorder="1" applyAlignment="1">
      <alignment horizontal="center"/>
    </xf>
    <xf numFmtId="0" fontId="7" fillId="0" borderId="17" xfId="0" applyFont="1" applyBorder="1"/>
    <xf numFmtId="0" fontId="7" fillId="0" borderId="21" xfId="0" applyFont="1" applyBorder="1"/>
    <xf numFmtId="0" fontId="7" fillId="0" borderId="2" xfId="0" applyFont="1" applyBorder="1"/>
    <xf numFmtId="0" fontId="5" fillId="0" borderId="8" xfId="0" applyFont="1" applyBorder="1"/>
    <xf numFmtId="0" fontId="0" fillId="7" borderId="0" xfId="0" applyFill="1"/>
    <xf numFmtId="0" fontId="2" fillId="7" borderId="0" xfId="0" applyFont="1" applyFill="1"/>
    <xf numFmtId="0" fontId="2" fillId="4" borderId="0" xfId="0" applyFont="1" applyFill="1"/>
    <xf numFmtId="3" fontId="0" fillId="5" borderId="0" xfId="0" applyNumberFormat="1" applyFill="1"/>
    <xf numFmtId="3" fontId="0" fillId="4" borderId="0" xfId="0" applyNumberFormat="1" applyFill="1"/>
    <xf numFmtId="166" fontId="0" fillId="5" borderId="0" xfId="0" applyNumberFormat="1" applyFill="1"/>
    <xf numFmtId="166" fontId="0" fillId="4" borderId="0" xfId="0" applyNumberFormat="1" applyFill="1"/>
    <xf numFmtId="3" fontId="0" fillId="0" borderId="0" xfId="0" applyNumberFormat="1"/>
    <xf numFmtId="166" fontId="13" fillId="0" borderId="0" xfId="0" applyNumberFormat="1" applyFont="1"/>
    <xf numFmtId="166" fontId="0" fillId="0" borderId="0" xfId="0" applyNumberFormat="1"/>
    <xf numFmtId="0" fontId="14" fillId="0" borderId="0" xfId="0" applyFont="1"/>
    <xf numFmtId="0" fontId="11" fillId="4" borderId="21" xfId="0" applyFont="1" applyFill="1" applyBorder="1" applyAlignment="1">
      <alignment horizontal="center"/>
    </xf>
    <xf numFmtId="0" fontId="2" fillId="7" borderId="0" xfId="0" applyFont="1" applyFill="1"/>
    <xf numFmtId="0" fontId="2" fillId="7" borderId="0" xfId="0" applyFont="1" applyFill="1" applyAlignment="1">
      <alignment horizontal="left"/>
    </xf>
    <xf numFmtId="0" fontId="0" fillId="0" borderId="0" xfId="0"/>
    <xf numFmtId="0" fontId="0" fillId="0" borderId="0" xfId="0" applyAlignment="1">
      <alignment wrapText="1"/>
    </xf>
    <xf numFmtId="0" fontId="14" fillId="0" borderId="0" xfId="0" applyFont="1" applyAlignment="1">
      <alignment vertical="top" wrapText="1"/>
    </xf>
    <xf numFmtId="0" fontId="0" fillId="0" borderId="0" xfId="0" applyAlignment="1">
      <alignment horizontal="left"/>
    </xf>
    <xf numFmtId="0" fontId="8" fillId="0" borderId="0" xfId="0" applyFont="1"/>
    <xf numFmtId="0" fontId="9" fillId="0" borderId="2" xfId="0" applyFont="1" applyBorder="1" applyAlignment="1">
      <alignment horizontal="center"/>
    </xf>
    <xf numFmtId="0" fontId="5" fillId="0" borderId="0" xfId="0" applyFont="1"/>
  </cellXfs>
  <cellStyles count="3">
    <cellStyle name="Currency" xfId="2" builtinId="4"/>
    <cellStyle name="Normal" xfId="0" builtinId="0"/>
    <cellStyle name="Percent" xfId="1" builtinId="5"/>
  </cellStyles>
  <dxfs count="18">
    <dxf>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1"/>
        <color theme="1"/>
        <name val="Aptos Narrow"/>
        <family val="2"/>
        <scheme val="minor"/>
      </font>
      <numFmt numFmtId="14" formatCode="0.00%"/>
      <fill>
        <patternFill patternType="solid">
          <fgColor theme="4" tint="0.79998168889431442"/>
          <bgColor theme="4" tint="0.79998168889431442"/>
        </patternFill>
      </fill>
      <border diagonalUp="0" diagonalDown="0" outline="0">
        <left style="thin">
          <color theme="4"/>
        </left>
        <right/>
        <top style="thin">
          <color theme="4"/>
        </top>
        <bottom style="thin">
          <color theme="4"/>
        </bottom>
      </border>
    </dxf>
    <dxf>
      <font>
        <b val="0"/>
        <i val="0"/>
        <strike val="0"/>
        <condense val="0"/>
        <extend val="0"/>
        <outline val="0"/>
        <shadow val="0"/>
        <u val="none"/>
        <vertAlign val="baseline"/>
        <sz val="11"/>
        <color theme="1"/>
        <name val="Aptos Narrow"/>
        <family val="2"/>
        <scheme val="minor"/>
      </font>
      <numFmt numFmtId="14" formatCode="0.00%"/>
      <fill>
        <patternFill patternType="solid">
          <fgColor theme="4" tint="0.79998168889431442"/>
          <bgColor theme="4" tint="0.79998168889431442"/>
        </patternFill>
      </fill>
      <border diagonalUp="0" diagonalDown="0"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1"/>
        <color theme="1"/>
        <name val="Aptos Narrow"/>
        <family val="2"/>
        <scheme val="minor"/>
      </font>
      <numFmt numFmtId="14" formatCode="0.00%"/>
      <fill>
        <patternFill patternType="solid">
          <fgColor theme="4" tint="0.79998168889431442"/>
          <bgColor theme="4" tint="0.79998168889431442"/>
        </patternFill>
      </fill>
      <border diagonalUp="0" diagonalDown="0"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1"/>
        <color theme="1"/>
        <name val="Aptos Narrow"/>
        <family val="2"/>
        <scheme val="minor"/>
      </font>
      <numFmt numFmtId="2" formatCode="0.00"/>
      <fill>
        <patternFill patternType="solid">
          <fgColor theme="4" tint="0.79998168889431442"/>
          <bgColor theme="4" tint="0.79998168889431442"/>
        </patternFill>
      </fill>
      <border diagonalUp="0" diagonalDown="0"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1"/>
        <color theme="1"/>
        <name val="Aptos Narrow"/>
        <family val="2"/>
        <scheme val="minor"/>
      </font>
      <numFmt numFmtId="14" formatCode="0.00%"/>
      <fill>
        <patternFill patternType="solid">
          <fgColor theme="4" tint="0.79998168889431442"/>
          <bgColor theme="4" tint="0.79998168889431442"/>
        </patternFill>
      </fill>
      <border diagonalUp="0" diagonalDown="0"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1"/>
        <color theme="1"/>
        <name val="Aptos Narrow"/>
        <family val="2"/>
        <scheme val="minor"/>
      </font>
      <numFmt numFmtId="14" formatCode="0.00%"/>
      <fill>
        <patternFill patternType="solid">
          <fgColor theme="4" tint="0.79998168889431442"/>
          <bgColor theme="4" tint="0.79998168889431442"/>
        </patternFill>
      </fill>
      <border diagonalUp="0" diagonalDown="0"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1"/>
        <color theme="1"/>
        <name val="Aptos Narrow"/>
        <family val="2"/>
        <scheme val="minor"/>
      </font>
      <numFmt numFmtId="14" formatCode="0.00%"/>
      <border diagonalUp="0" diagonalDown="0" outline="0">
        <left style="thin">
          <color theme="4"/>
        </left>
        <right style="thin">
          <color theme="4"/>
        </right>
        <top style="thin">
          <color theme="4"/>
        </top>
        <bottom style="thin">
          <color theme="4"/>
        </bottom>
      </border>
    </dxf>
    <dxf>
      <numFmt numFmtId="1" formatCode="0"/>
    </dxf>
    <dxf>
      <font>
        <b val="0"/>
        <i val="0"/>
        <strike val="0"/>
        <condense val="0"/>
        <extend val="0"/>
        <outline val="0"/>
        <shadow val="0"/>
        <u val="none"/>
        <vertAlign val="baseline"/>
        <sz val="11"/>
        <color theme="1"/>
        <name val="Aptos Narrow"/>
        <family val="2"/>
        <scheme val="minor"/>
      </font>
      <alignment horizontal="general" vertical="bottom" textRotation="0" wrapText="1" indent="0" justifyLastLine="0" shrinkToFit="0" readingOrder="0"/>
      <border diagonalUp="0" diagonalDown="0"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1"/>
        <color theme="1"/>
        <name val="Aptos Narrow"/>
        <family val="2"/>
        <scheme val="minor"/>
      </font>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Aptos Narrow"/>
        <family val="2"/>
        <scheme val="minor"/>
      </font>
      <border diagonalUp="0" diagonalDown="0" outline="0">
        <left style="thin">
          <color theme="4"/>
        </left>
        <right style="thin">
          <color theme="4"/>
        </right>
        <top style="thin">
          <color theme="4"/>
        </top>
        <bottom style="thin">
          <color theme="4"/>
        </bottom>
      </border>
    </dxf>
    <dxf>
      <border outline="0">
        <top style="thin">
          <color theme="4"/>
        </top>
      </border>
    </dxf>
    <dxf>
      <border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dxf>
    <dxf>
      <border outline="0">
        <bottom style="medium">
          <color theme="4"/>
        </bottom>
      </border>
    </dxf>
    <dxf>
      <font>
        <b/>
        <i val="0"/>
        <strike val="0"/>
        <condense val="0"/>
        <extend val="0"/>
        <outline val="0"/>
        <shadow val="0"/>
        <u val="none"/>
        <vertAlign val="baseline"/>
        <sz val="11"/>
        <color theme="1"/>
        <name val="Aptos Narrow"/>
        <family val="2"/>
        <scheme val="minor"/>
      </font>
      <border diagonalUp="0" diagonalDown="0" outline="0">
        <left style="thin">
          <color theme="4"/>
        </left>
        <right style="thin">
          <color theme="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connections" Target="connections.xml"/><Relationship Id="rId25"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ustomXml" Target="../customXml/item1.xml"/></Relationships>
</file>

<file path=xl/charts/_rels/chart4.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7.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8.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9.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0.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[Nike_vs_Adidas_Retail_Financial_Performance_Dashboard_Finished.xlsx]Revenue Trend!PivotTable11</c:name>
    <c:fmtId val="3"/>
  </c:pivotSource>
  <c:chart>
    <c:title>
      <c:tx>
        <c:rich>
          <a:bodyPr/>
          <a:lstStyle/>
          <a:p>
            <a:pPr>
              <a:defRPr/>
            </a:pPr>
            <a:r>
              <a:rPr lang="en-US" sz="1600"/>
              <a:t>Revenue Trend by Quarter (USD M)</a:t>
            </a:r>
          </a:p>
        </c:rich>
      </c:tx>
      <c:layout>
        <c:manualLayout>
          <c:xMode val="edge"/>
          <c:yMode val="edge"/>
          <c:x val="0.17638600867960813"/>
          <c:y val="0"/>
        </c:manualLayout>
      </c:layout>
      <c:overlay val="0"/>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'Revenue Trend'!$B$3:$B$4</c:f>
              <c:strCache>
                <c:ptCount val="1"/>
                <c:pt idx="0">
                  <c:v>Adidas</c:v>
                </c:pt>
              </c:strCache>
            </c:strRef>
          </c:tx>
          <c:spPr>
            <a:ln w="28575" cap="rnd">
              <a:solidFill>
                <a:schemeClr val="accent1"/>
              </a:solidFill>
              <a:round/>
            </a:ln>
            <a:effectLst/>
          </c:spPr>
          <c:marker>
            <c:symbol val="none"/>
          </c:marker>
          <c:cat>
            <c:strRef>
              <c:f>'Revenue Trend'!$A$5:$A$8</c:f>
              <c:strCache>
                <c:ptCount val="4"/>
                <c:pt idx="0">
                  <c:v>Q1 2025</c:v>
                </c:pt>
                <c:pt idx="1">
                  <c:v>Q2 2025</c:v>
                </c:pt>
                <c:pt idx="2">
                  <c:v>Q3 2025</c:v>
                </c:pt>
                <c:pt idx="3">
                  <c:v>Q4 2025</c:v>
                </c:pt>
              </c:strCache>
            </c:strRef>
          </c:cat>
          <c:val>
            <c:numRef>
              <c:f>'Revenue Trend'!$B$5:$B$8</c:f>
              <c:numCache>
                <c:formatCode>#,##0</c:formatCode>
                <c:ptCount val="4"/>
                <c:pt idx="0">
                  <c:v>6470.5378709999995</c:v>
                </c:pt>
                <c:pt idx="1">
                  <c:v>6748.3914880000002</c:v>
                </c:pt>
                <c:pt idx="2">
                  <c:v>7751.9219700000003</c:v>
                </c:pt>
                <c:pt idx="3">
                  <c:v>7073.3814760000014</c:v>
                </c:pt>
              </c:numCache>
            </c:numRef>
          </c:val>
          <c:smooth val="0"/>
          <c:extLst>
            <c:ext xmlns:c16="http://schemas.microsoft.com/office/drawing/2014/chart" uri="{C3380CC4-5D6E-409C-BE32-E72D297353CC}">
              <c16:uniqueId val="{00000003-FEF1-47CD-B2B7-C7F36B19C05D}"/>
            </c:ext>
          </c:extLst>
        </c:ser>
        <c:ser>
          <c:idx val="1"/>
          <c:order val="1"/>
          <c:tx>
            <c:strRef>
              <c:f>'Revenue Trend'!$C$3:$C$4</c:f>
              <c:strCache>
                <c:ptCount val="1"/>
                <c:pt idx="0">
                  <c:v>Nike</c:v>
                </c:pt>
              </c:strCache>
            </c:strRef>
          </c:tx>
          <c:spPr>
            <a:ln w="28575" cap="rnd">
              <a:solidFill>
                <a:schemeClr val="accent2"/>
              </a:solidFill>
              <a:round/>
            </a:ln>
            <a:effectLst/>
          </c:spPr>
          <c:marker>
            <c:symbol val="none"/>
          </c:marker>
          <c:cat>
            <c:strRef>
              <c:f>'Revenue Trend'!$A$5:$A$8</c:f>
              <c:strCache>
                <c:ptCount val="4"/>
                <c:pt idx="0">
                  <c:v>Q1 2025</c:v>
                </c:pt>
                <c:pt idx="1">
                  <c:v>Q2 2025</c:v>
                </c:pt>
                <c:pt idx="2">
                  <c:v>Q3 2025</c:v>
                </c:pt>
                <c:pt idx="3">
                  <c:v>Q4 2025</c:v>
                </c:pt>
              </c:strCache>
            </c:strRef>
          </c:cat>
          <c:val>
            <c:numRef>
              <c:f>'Revenue Trend'!$C$5:$C$8</c:f>
              <c:numCache>
                <c:formatCode>#,##0</c:formatCode>
                <c:ptCount val="4"/>
                <c:pt idx="0">
                  <c:v>11589</c:v>
                </c:pt>
                <c:pt idx="1">
                  <c:v>12354</c:v>
                </c:pt>
                <c:pt idx="2">
                  <c:v>11269</c:v>
                </c:pt>
                <c:pt idx="3">
                  <c:v>11097</c:v>
                </c:pt>
              </c:numCache>
            </c:numRef>
          </c:val>
          <c:smooth val="0"/>
          <c:extLst>
            <c:ext xmlns:c16="http://schemas.microsoft.com/office/drawing/2014/chart" uri="{C3380CC4-5D6E-409C-BE32-E72D297353CC}">
              <c16:uniqueId val="{00000005-FEF1-47CD-B2B7-C7F36B19C05D}"/>
            </c:ext>
          </c:extLst>
        </c:ser>
        <c:dLbls>
          <c:showLegendKey val="0"/>
          <c:showVal val="0"/>
          <c:showCatName val="0"/>
          <c:showSerName val="0"/>
          <c:showPercent val="0"/>
          <c:showBubbleSize val="0"/>
        </c:dLbls>
        <c:smooth val="0"/>
        <c:axId val="2080563936"/>
        <c:axId val="2080547616"/>
      </c:lineChart>
      <c:catAx>
        <c:axId val="2080563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547616"/>
        <c:crosses val="autoZero"/>
        <c:auto val="1"/>
        <c:lblAlgn val="ctr"/>
        <c:lblOffset val="100"/>
        <c:noMultiLvlLbl val="0"/>
      </c:catAx>
      <c:valAx>
        <c:axId val="20805476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563936"/>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[Nike_vs_Adidas_Retail_Financial_Performance_Dashboard_Finished.xlsx]Gross Margin Trend!PivotTable12</c:name>
    <c:fmtId val="5"/>
  </c:pivotSource>
  <c:chart>
    <c:title>
      <c:tx>
        <c:rich>
          <a:bodyPr/>
          <a:lstStyle/>
          <a:p>
            <a:pPr>
              <a:defRPr/>
            </a:pPr>
            <a:r>
              <a:rPr lang="en-US" sz="1600"/>
              <a:t>Gross Profit</a:t>
            </a:r>
            <a:r>
              <a:rPr lang="en-US" sz="1600" baseline="0"/>
              <a:t> Margin Trend</a:t>
            </a:r>
            <a:endParaRPr lang="en-US" sz="1600"/>
          </a:p>
        </c:rich>
      </c:tx>
      <c:overlay val="0"/>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'Gross Margin Trend'!$B$3:$B$4</c:f>
              <c:strCache>
                <c:ptCount val="1"/>
                <c:pt idx="0">
                  <c:v>Adidas</c:v>
                </c:pt>
              </c:strCache>
            </c:strRef>
          </c:tx>
          <c:spPr>
            <a:ln w="28575" cap="rnd">
              <a:solidFill>
                <a:schemeClr val="accent1"/>
              </a:solidFill>
              <a:round/>
            </a:ln>
            <a:effectLst/>
          </c:spPr>
          <c:marker>
            <c:symbol val="none"/>
          </c:marker>
          <c:cat>
            <c:strRef>
              <c:f>'Gross Margin Trend'!$A$5:$A$8</c:f>
              <c:strCache>
                <c:ptCount val="4"/>
                <c:pt idx="0">
                  <c:v>Q1 2025</c:v>
                </c:pt>
                <c:pt idx="1">
                  <c:v>Q2 2025</c:v>
                </c:pt>
                <c:pt idx="2">
                  <c:v>Q3 2025</c:v>
                </c:pt>
                <c:pt idx="3">
                  <c:v>Q4 2025</c:v>
                </c:pt>
              </c:strCache>
            </c:strRef>
          </c:cat>
          <c:val>
            <c:numRef>
              <c:f>'Gross Margin Trend'!$B$5:$B$8</c:f>
              <c:numCache>
                <c:formatCode>0.00%</c:formatCode>
                <c:ptCount val="4"/>
                <c:pt idx="0">
                  <c:v>0.52088412156671537</c:v>
                </c:pt>
                <c:pt idx="1">
                  <c:v>0.51696908602150538</c:v>
                </c:pt>
                <c:pt idx="2">
                  <c:v>0.51809954751131226</c:v>
                </c:pt>
                <c:pt idx="3">
                  <c:v>0.50822909809084926</c:v>
                </c:pt>
              </c:numCache>
            </c:numRef>
          </c:val>
          <c:smooth val="0"/>
          <c:extLst>
            <c:ext xmlns:c16="http://schemas.microsoft.com/office/drawing/2014/chart" uri="{C3380CC4-5D6E-409C-BE32-E72D297353CC}">
              <c16:uniqueId val="{00000003-3B41-48DF-8C98-AB4283E5922F}"/>
            </c:ext>
          </c:extLst>
        </c:ser>
        <c:ser>
          <c:idx val="1"/>
          <c:order val="1"/>
          <c:tx>
            <c:strRef>
              <c:f>'Gross Margin Trend'!$C$3:$C$4</c:f>
              <c:strCache>
                <c:ptCount val="1"/>
                <c:pt idx="0">
                  <c:v>Nike</c:v>
                </c:pt>
              </c:strCache>
            </c:strRef>
          </c:tx>
          <c:spPr>
            <a:ln w="28575" cap="rnd">
              <a:solidFill>
                <a:schemeClr val="accent2"/>
              </a:solidFill>
              <a:round/>
            </a:ln>
            <a:effectLst/>
          </c:spPr>
          <c:marker>
            <c:symbol val="none"/>
          </c:marker>
          <c:cat>
            <c:strRef>
              <c:f>'Gross Margin Trend'!$A$5:$A$8</c:f>
              <c:strCache>
                <c:ptCount val="4"/>
                <c:pt idx="0">
                  <c:v>Q1 2025</c:v>
                </c:pt>
                <c:pt idx="1">
                  <c:v>Q2 2025</c:v>
                </c:pt>
                <c:pt idx="2">
                  <c:v>Q3 2025</c:v>
                </c:pt>
                <c:pt idx="3">
                  <c:v>Q4 2025</c:v>
                </c:pt>
              </c:strCache>
            </c:strRef>
          </c:cat>
          <c:val>
            <c:numRef>
              <c:f>'Gross Margin Trend'!$C$5:$C$8</c:f>
              <c:numCache>
                <c:formatCode>0.00%</c:formatCode>
                <c:ptCount val="4"/>
                <c:pt idx="0">
                  <c:v>0.45361981189058592</c:v>
                </c:pt>
                <c:pt idx="1">
                  <c:v>0.43621499109600131</c:v>
                </c:pt>
                <c:pt idx="2">
                  <c:v>0.41485491170467653</c:v>
                </c:pt>
                <c:pt idx="3">
                  <c:v>0.40272145624943678</c:v>
                </c:pt>
              </c:numCache>
            </c:numRef>
          </c:val>
          <c:smooth val="0"/>
          <c:extLst>
            <c:ext xmlns:c16="http://schemas.microsoft.com/office/drawing/2014/chart" uri="{C3380CC4-5D6E-409C-BE32-E72D297353CC}">
              <c16:uniqueId val="{00000005-3B41-48DF-8C98-AB4283E5922F}"/>
            </c:ext>
          </c:extLst>
        </c:ser>
        <c:dLbls>
          <c:showLegendKey val="0"/>
          <c:showVal val="0"/>
          <c:showCatName val="0"/>
          <c:showSerName val="0"/>
          <c:showPercent val="0"/>
          <c:showBubbleSize val="0"/>
        </c:dLbls>
        <c:smooth val="0"/>
        <c:axId val="683609008"/>
        <c:axId val="683609488"/>
      </c:lineChart>
      <c:catAx>
        <c:axId val="683609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3609488"/>
        <c:crosses val="autoZero"/>
        <c:auto val="1"/>
        <c:lblAlgn val="ctr"/>
        <c:lblOffset val="100"/>
        <c:noMultiLvlLbl val="0"/>
      </c:catAx>
      <c:valAx>
        <c:axId val="6836094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3609008"/>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[Nike_vs_Adidas_Retail_Financial_Performance_Dashboard_Finished.xlsx]Operating Margin!PivotTable13</c:name>
    <c:fmtId val="5"/>
  </c:pivotSource>
  <c:chart>
    <c:title>
      <c:tx>
        <c:rich>
          <a:bodyPr/>
          <a:lstStyle/>
          <a:p>
            <a:pPr>
              <a:defRPr/>
            </a:pPr>
            <a:r>
              <a:rPr lang="en-US" sz="1600"/>
              <a:t>Operating Margin Trend</a:t>
            </a:r>
          </a:p>
        </c:rich>
      </c:tx>
      <c:overlay val="0"/>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'Operating Margin'!$B$3:$B$4</c:f>
              <c:strCache>
                <c:ptCount val="1"/>
                <c:pt idx="0">
                  <c:v>Adidas</c:v>
                </c:pt>
              </c:strCache>
            </c:strRef>
          </c:tx>
          <c:spPr>
            <a:ln w="28575" cap="rnd">
              <a:solidFill>
                <a:schemeClr val="accent1"/>
              </a:solidFill>
              <a:round/>
            </a:ln>
            <a:effectLst/>
          </c:spPr>
          <c:marker>
            <c:symbol val="none"/>
          </c:marker>
          <c:cat>
            <c:strRef>
              <c:f>'Operating Margin'!$A$5:$A$8</c:f>
              <c:strCache>
                <c:ptCount val="4"/>
                <c:pt idx="0">
                  <c:v>Q1 2025</c:v>
                </c:pt>
                <c:pt idx="1">
                  <c:v>Q2 2025</c:v>
                </c:pt>
                <c:pt idx="2">
                  <c:v>Q3 2025</c:v>
                </c:pt>
                <c:pt idx="3">
                  <c:v>Q4 2025</c:v>
                </c:pt>
              </c:strCache>
            </c:strRef>
          </c:cat>
          <c:val>
            <c:numRef>
              <c:f>'Operating Margin'!$B$5:$B$8</c:f>
              <c:numCache>
                <c:formatCode>0.00%</c:formatCode>
                <c:ptCount val="4"/>
                <c:pt idx="0">
                  <c:v>9.9138631561839746E-2</c:v>
                </c:pt>
                <c:pt idx="1">
                  <c:v>9.1733870967741937E-2</c:v>
                </c:pt>
                <c:pt idx="2">
                  <c:v>0.11101055806938159</c:v>
                </c:pt>
                <c:pt idx="3">
                  <c:v>2.6991441737985518E-2</c:v>
                </c:pt>
              </c:numCache>
            </c:numRef>
          </c:val>
          <c:smooth val="0"/>
          <c:extLst>
            <c:ext xmlns:c16="http://schemas.microsoft.com/office/drawing/2014/chart" uri="{C3380CC4-5D6E-409C-BE32-E72D297353CC}">
              <c16:uniqueId val="{00000003-BB8C-4016-979F-9FD867487568}"/>
            </c:ext>
          </c:extLst>
        </c:ser>
        <c:ser>
          <c:idx val="1"/>
          <c:order val="1"/>
          <c:tx>
            <c:strRef>
              <c:f>'Operating Margin'!$C$3:$C$4</c:f>
              <c:strCache>
                <c:ptCount val="1"/>
                <c:pt idx="0">
                  <c:v>Nike</c:v>
                </c:pt>
              </c:strCache>
            </c:strRef>
          </c:tx>
          <c:spPr>
            <a:ln w="28575" cap="rnd">
              <a:solidFill>
                <a:schemeClr val="accent2"/>
              </a:solidFill>
              <a:round/>
            </a:ln>
            <a:effectLst/>
          </c:spPr>
          <c:marker>
            <c:symbol val="none"/>
          </c:marker>
          <c:cat>
            <c:strRef>
              <c:f>'Operating Margin'!$A$5:$A$8</c:f>
              <c:strCache>
                <c:ptCount val="4"/>
                <c:pt idx="0">
                  <c:v>Q1 2025</c:v>
                </c:pt>
                <c:pt idx="1">
                  <c:v>Q2 2025</c:v>
                </c:pt>
                <c:pt idx="2">
                  <c:v>Q3 2025</c:v>
                </c:pt>
                <c:pt idx="3">
                  <c:v>Q4 2025</c:v>
                </c:pt>
              </c:strCache>
            </c:strRef>
          </c:cat>
          <c:val>
            <c:numRef>
              <c:f>'Operating Margin'!$C$5:$C$8</c:f>
              <c:numCache>
                <c:formatCode>0.00%</c:formatCode>
                <c:ptCount val="4"/>
                <c:pt idx="0">
                  <c:v>0.10906894468892915</c:v>
                </c:pt>
                <c:pt idx="1">
                  <c:v>0.11267605633802817</c:v>
                </c:pt>
                <c:pt idx="2">
                  <c:v>7.3298429319371722E-2</c:v>
                </c:pt>
                <c:pt idx="3">
                  <c:v>2.6673875822294312E-2</c:v>
                </c:pt>
              </c:numCache>
            </c:numRef>
          </c:val>
          <c:smooth val="0"/>
          <c:extLst>
            <c:ext xmlns:c16="http://schemas.microsoft.com/office/drawing/2014/chart" uri="{C3380CC4-5D6E-409C-BE32-E72D297353CC}">
              <c16:uniqueId val="{00000005-BB8C-4016-979F-9FD867487568}"/>
            </c:ext>
          </c:extLst>
        </c:ser>
        <c:dLbls>
          <c:showLegendKey val="0"/>
          <c:showVal val="0"/>
          <c:showCatName val="0"/>
          <c:showSerName val="0"/>
          <c:showPercent val="0"/>
          <c:showBubbleSize val="0"/>
        </c:dLbls>
        <c:smooth val="0"/>
        <c:axId val="96294656"/>
        <c:axId val="96292736"/>
      </c:lineChart>
      <c:catAx>
        <c:axId val="96294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92736"/>
        <c:crosses val="autoZero"/>
        <c:auto val="1"/>
        <c:lblAlgn val="ctr"/>
        <c:lblOffset val="100"/>
        <c:noMultiLvlLbl val="0"/>
      </c:catAx>
      <c:valAx>
        <c:axId val="962927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94656"/>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[Nike_vs_Adidas_Retail_Financial_Performance_Dashboard_Finished.xlsx]Operating Cash Flow !PivotTable15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Operating Cash Flow Margin</a:t>
            </a:r>
            <a:r>
              <a:rPr lang="en-US" sz="1600" b="1" baseline="0">
                <a:solidFill>
                  <a:schemeClr val="tx1"/>
                </a:solidFill>
              </a:rPr>
              <a:t> Trend</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'Operating Cash Flow '!$B$3:$B$4</c:f>
              <c:strCache>
                <c:ptCount val="1"/>
                <c:pt idx="0">
                  <c:v>Adidas</c:v>
                </c:pt>
              </c:strCache>
            </c:strRef>
          </c:tx>
          <c:spPr>
            <a:solidFill>
              <a:schemeClr val="accent1"/>
            </a:solidFill>
            <a:ln>
              <a:noFill/>
            </a:ln>
            <a:effectLst/>
          </c:spPr>
          <c:invertIfNegative val="0"/>
          <c:cat>
            <c:strRef>
              <c:f>'Operating Cash Flow '!$A$5:$A$8</c:f>
              <c:strCache>
                <c:ptCount val="4"/>
                <c:pt idx="0">
                  <c:v>Q1 2025</c:v>
                </c:pt>
                <c:pt idx="1">
                  <c:v>Q2 2025</c:v>
                </c:pt>
                <c:pt idx="2">
                  <c:v>Q3 2025</c:v>
                </c:pt>
                <c:pt idx="3">
                  <c:v>Q4 2025</c:v>
                </c:pt>
              </c:strCache>
            </c:strRef>
          </c:cat>
          <c:val>
            <c:numRef>
              <c:f>'Operating Cash Flow '!$B$5:$B$8</c:f>
              <c:numCache>
                <c:formatCode>0.00%</c:formatCode>
                <c:ptCount val="4"/>
                <c:pt idx="0">
                  <c:v>-0.15179587193239069</c:v>
                </c:pt>
                <c:pt idx="1">
                  <c:v>3.0241935483870967E-3</c:v>
                </c:pt>
                <c:pt idx="2">
                  <c:v>9.6681749622926097E-2</c:v>
                </c:pt>
                <c:pt idx="3">
                  <c:v>0.16886109282422646</c:v>
                </c:pt>
              </c:numCache>
            </c:numRef>
          </c:val>
          <c:extLst>
            <c:ext xmlns:c16="http://schemas.microsoft.com/office/drawing/2014/chart" uri="{C3380CC4-5D6E-409C-BE32-E72D297353CC}">
              <c16:uniqueId val="{00000000-BE8A-454C-B82E-B8E46EACBA4C}"/>
            </c:ext>
          </c:extLst>
        </c:ser>
        <c:ser>
          <c:idx val="1"/>
          <c:order val="1"/>
          <c:tx>
            <c:strRef>
              <c:f>'Operating Cash Flow '!$C$3:$C$4</c:f>
              <c:strCache>
                <c:ptCount val="1"/>
                <c:pt idx="0">
                  <c:v>Nike</c:v>
                </c:pt>
              </c:strCache>
            </c:strRef>
          </c:tx>
          <c:spPr>
            <a:solidFill>
              <a:schemeClr val="accent2"/>
            </a:solidFill>
            <a:ln>
              <a:noFill/>
            </a:ln>
            <a:effectLst/>
          </c:spPr>
          <c:invertIfNegative val="0"/>
          <c:cat>
            <c:strRef>
              <c:f>'Operating Cash Flow '!$A$5:$A$8</c:f>
              <c:strCache>
                <c:ptCount val="4"/>
                <c:pt idx="0">
                  <c:v>Q1 2025</c:v>
                </c:pt>
                <c:pt idx="1">
                  <c:v>Q2 2025</c:v>
                </c:pt>
                <c:pt idx="2">
                  <c:v>Q3 2025</c:v>
                </c:pt>
                <c:pt idx="3">
                  <c:v>Q4 2025</c:v>
                </c:pt>
              </c:strCache>
            </c:strRef>
          </c:cat>
          <c:val>
            <c:numRef>
              <c:f>'Operating Cash Flow '!$C$5:$C$8</c:f>
              <c:numCache>
                <c:formatCode>0.00%</c:formatCode>
                <c:ptCount val="4"/>
                <c:pt idx="0">
                  <c:v>3.3997756493226339E-2</c:v>
                </c:pt>
                <c:pt idx="1">
                  <c:v>8.4911769467378981E-2</c:v>
                </c:pt>
                <c:pt idx="2">
                  <c:v>0.15902032123524715</c:v>
                </c:pt>
                <c:pt idx="3">
                  <c:v>4.1722988195007658E-2</c:v>
                </c:pt>
              </c:numCache>
            </c:numRef>
          </c:val>
          <c:extLst>
            <c:ext xmlns:c16="http://schemas.microsoft.com/office/drawing/2014/chart" uri="{C3380CC4-5D6E-409C-BE32-E72D297353CC}">
              <c16:uniqueId val="{00000001-BE8A-454C-B82E-B8E46EACBA4C}"/>
            </c:ext>
          </c:extLst>
        </c:ser>
        <c:dLbls>
          <c:showLegendKey val="0"/>
          <c:showVal val="0"/>
          <c:showCatName val="0"/>
          <c:showSerName val="0"/>
          <c:showPercent val="0"/>
          <c:showBubbleSize val="0"/>
        </c:dLbls>
        <c:gapWidth val="219"/>
        <c:overlap val="-27"/>
        <c:axId val="441465040"/>
        <c:axId val="441465520"/>
      </c:barChart>
      <c:catAx>
        <c:axId val="441465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465520"/>
        <c:crosses val="autoZero"/>
        <c:auto val="1"/>
        <c:lblAlgn val="ctr"/>
        <c:lblOffset val="100"/>
        <c:noMultiLvlLbl val="0"/>
      </c:catAx>
      <c:valAx>
        <c:axId val="4414655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465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[Nike_vs_Adidas_Retail_Financial_Performance_Dashboard_Finished.xlsx]Financial Health A!PivotTable17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Current Ratio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'Financial Health A'!$B$3:$B$4</c:f>
              <c:strCache>
                <c:ptCount val="1"/>
                <c:pt idx="0">
                  <c:v>Adidas</c:v>
                </c:pt>
              </c:strCache>
            </c:strRef>
          </c:tx>
          <c:spPr>
            <a:ln w="28575" cap="rnd">
              <a:solidFill>
                <a:schemeClr val="accent1"/>
              </a:solidFill>
              <a:round/>
            </a:ln>
            <a:effectLst/>
          </c:spPr>
          <c:marker>
            <c:symbol val="none"/>
          </c:marker>
          <c:cat>
            <c:strRef>
              <c:f>'Financial Health A'!$A$5:$A$8</c:f>
              <c:strCache>
                <c:ptCount val="4"/>
                <c:pt idx="0">
                  <c:v>Q1 2025</c:v>
                </c:pt>
                <c:pt idx="1">
                  <c:v>Q2 2025</c:v>
                </c:pt>
                <c:pt idx="2">
                  <c:v>Q3 2025</c:v>
                </c:pt>
                <c:pt idx="3">
                  <c:v>Q4 2025</c:v>
                </c:pt>
              </c:strCache>
            </c:strRef>
          </c:cat>
          <c:val>
            <c:numRef>
              <c:f>'Financial Health A'!$B$5:$B$8</c:f>
              <c:numCache>
                <c:formatCode>0.00</c:formatCode>
                <c:ptCount val="4"/>
                <c:pt idx="0">
                  <c:v>1.2884142250055917</c:v>
                </c:pt>
                <c:pt idx="1">
                  <c:v>1.2536547260350408</c:v>
                </c:pt>
                <c:pt idx="2">
                  <c:v>1.3103032957407206</c:v>
                </c:pt>
                <c:pt idx="3">
                  <c:v>1.3170222124477677</c:v>
                </c:pt>
              </c:numCache>
            </c:numRef>
          </c:val>
          <c:smooth val="0"/>
          <c:extLst>
            <c:ext xmlns:c16="http://schemas.microsoft.com/office/drawing/2014/chart" uri="{C3380CC4-5D6E-409C-BE32-E72D297353CC}">
              <c16:uniqueId val="{00000000-2A06-4C20-84FA-45553D892CC4}"/>
            </c:ext>
          </c:extLst>
        </c:ser>
        <c:ser>
          <c:idx val="1"/>
          <c:order val="1"/>
          <c:tx>
            <c:strRef>
              <c:f>'Financial Health A'!$C$3:$C$4</c:f>
              <c:strCache>
                <c:ptCount val="1"/>
                <c:pt idx="0">
                  <c:v>Nike</c:v>
                </c:pt>
              </c:strCache>
            </c:strRef>
          </c:tx>
          <c:spPr>
            <a:ln w="28575" cap="rnd">
              <a:solidFill>
                <a:schemeClr val="accent2"/>
              </a:solidFill>
              <a:round/>
            </a:ln>
            <a:effectLst/>
          </c:spPr>
          <c:marker>
            <c:symbol val="none"/>
          </c:marker>
          <c:cat>
            <c:strRef>
              <c:f>'Financial Health A'!$A$5:$A$8</c:f>
              <c:strCache>
                <c:ptCount val="4"/>
                <c:pt idx="0">
                  <c:v>Q1 2025</c:v>
                </c:pt>
                <c:pt idx="1">
                  <c:v>Q2 2025</c:v>
                </c:pt>
                <c:pt idx="2">
                  <c:v>Q3 2025</c:v>
                </c:pt>
                <c:pt idx="3">
                  <c:v>Q4 2025</c:v>
                </c:pt>
              </c:strCache>
            </c:strRef>
          </c:cat>
          <c:val>
            <c:numRef>
              <c:f>'Financial Health A'!$C$5:$C$8</c:f>
              <c:numCache>
                <c:formatCode>0.00</c:formatCode>
                <c:ptCount val="4"/>
                <c:pt idx="0">
                  <c:v>2.3560406473466315</c:v>
                </c:pt>
                <c:pt idx="1">
                  <c:v>2.2212342166103505</c:v>
                </c:pt>
                <c:pt idx="2">
                  <c:v>2.1927292167869554</c:v>
                </c:pt>
                <c:pt idx="3">
                  <c:v>2.2110543251940187</c:v>
                </c:pt>
              </c:numCache>
            </c:numRef>
          </c:val>
          <c:smooth val="0"/>
          <c:extLst>
            <c:ext xmlns:c16="http://schemas.microsoft.com/office/drawing/2014/chart" uri="{C3380CC4-5D6E-409C-BE32-E72D297353CC}">
              <c16:uniqueId val="{00000001-2A06-4C20-84FA-45553D892CC4}"/>
            </c:ext>
          </c:extLst>
        </c:ser>
        <c:dLbls>
          <c:showLegendKey val="0"/>
          <c:showVal val="0"/>
          <c:showCatName val="0"/>
          <c:showSerName val="0"/>
          <c:showPercent val="0"/>
          <c:showBubbleSize val="0"/>
        </c:dLbls>
        <c:smooth val="0"/>
        <c:axId val="118950976"/>
        <c:axId val="118957216"/>
      </c:lineChart>
      <c:catAx>
        <c:axId val="118950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57216"/>
        <c:crosses val="autoZero"/>
        <c:auto val="1"/>
        <c:lblAlgn val="ctr"/>
        <c:lblOffset val="100"/>
        <c:noMultiLvlLbl val="0"/>
      </c:catAx>
      <c:valAx>
        <c:axId val="1189572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50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[Nike_vs_Adidas_Retail_Financial_Performance_Dashboard_Finished.xlsx]Financial Health B!PivotTable18</c:name>
    <c:fmtId val="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Debt-to-Assets Trend</a:t>
            </a:r>
          </a:p>
        </c:rich>
      </c:tx>
      <c:layout>
        <c:manualLayout>
          <c:xMode val="edge"/>
          <c:yMode val="edge"/>
          <c:x val="0.34450985790482236"/>
          <c:y val="4.9856358864232883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'Financial Health B'!$B$3:$B$4</c:f>
              <c:strCache>
                <c:ptCount val="1"/>
                <c:pt idx="0">
                  <c:v>Adidas</c:v>
                </c:pt>
              </c:strCache>
            </c:strRef>
          </c:tx>
          <c:spPr>
            <a:ln w="28575" cap="rnd">
              <a:solidFill>
                <a:schemeClr val="accent1"/>
              </a:solidFill>
              <a:round/>
            </a:ln>
            <a:effectLst/>
          </c:spPr>
          <c:marker>
            <c:symbol val="none"/>
          </c:marker>
          <c:cat>
            <c:strRef>
              <c:f>'Financial Health B'!$A$5:$A$8</c:f>
              <c:strCache>
                <c:ptCount val="4"/>
                <c:pt idx="0">
                  <c:v>Q1 2025</c:v>
                </c:pt>
                <c:pt idx="1">
                  <c:v>Q2 2025</c:v>
                </c:pt>
                <c:pt idx="2">
                  <c:v>Q3 2025</c:v>
                </c:pt>
                <c:pt idx="3">
                  <c:v>Q4 2025</c:v>
                </c:pt>
              </c:strCache>
            </c:strRef>
          </c:cat>
          <c:val>
            <c:numRef>
              <c:f>'Financial Health B'!$B$5:$B$8</c:f>
              <c:numCache>
                <c:formatCode>0.00%</c:formatCode>
                <c:ptCount val="4"/>
                <c:pt idx="0">
                  <c:v>0.69702852023294015</c:v>
                </c:pt>
                <c:pt idx="1">
                  <c:v>0.71516488025026925</c:v>
                </c:pt>
                <c:pt idx="2">
                  <c:v>0.69826773216856108</c:v>
                </c:pt>
                <c:pt idx="3">
                  <c:v>0.69770999901293063</c:v>
                </c:pt>
              </c:numCache>
            </c:numRef>
          </c:val>
          <c:smooth val="0"/>
          <c:extLst>
            <c:ext xmlns:c16="http://schemas.microsoft.com/office/drawing/2014/chart" uri="{C3380CC4-5D6E-409C-BE32-E72D297353CC}">
              <c16:uniqueId val="{00000000-D126-4C66-86C4-2859EC288805}"/>
            </c:ext>
          </c:extLst>
        </c:ser>
        <c:ser>
          <c:idx val="1"/>
          <c:order val="1"/>
          <c:tx>
            <c:strRef>
              <c:f>'Financial Health B'!$C$3:$C$4</c:f>
              <c:strCache>
                <c:ptCount val="1"/>
                <c:pt idx="0">
                  <c:v>Nike</c:v>
                </c:pt>
              </c:strCache>
            </c:strRef>
          </c:tx>
          <c:spPr>
            <a:ln w="28575" cap="rnd">
              <a:solidFill>
                <a:schemeClr val="accent2"/>
              </a:solidFill>
              <a:round/>
            </a:ln>
            <a:effectLst/>
          </c:spPr>
          <c:marker>
            <c:symbol val="none"/>
          </c:marker>
          <c:cat>
            <c:strRef>
              <c:f>'Financial Health B'!$A$5:$A$8</c:f>
              <c:strCache>
                <c:ptCount val="4"/>
                <c:pt idx="0">
                  <c:v>Q1 2025</c:v>
                </c:pt>
                <c:pt idx="1">
                  <c:v>Q2 2025</c:v>
                </c:pt>
                <c:pt idx="2">
                  <c:v>Q3 2025</c:v>
                </c:pt>
                <c:pt idx="3">
                  <c:v>Q4 2025</c:v>
                </c:pt>
              </c:strCache>
            </c:strRef>
          </c:cat>
          <c:val>
            <c:numRef>
              <c:f>'Financial Health B'!$C$5:$C$8</c:f>
              <c:numCache>
                <c:formatCode>0.00%</c:formatCode>
                <c:ptCount val="4"/>
                <c:pt idx="0">
                  <c:v>0.63176380489608364</c:v>
                </c:pt>
                <c:pt idx="1">
                  <c:v>0.63020627519165417</c:v>
                </c:pt>
                <c:pt idx="2">
                  <c:v>0.62937581033524725</c:v>
                </c:pt>
                <c:pt idx="3">
                  <c:v>0.6387818147024249</c:v>
                </c:pt>
              </c:numCache>
            </c:numRef>
          </c:val>
          <c:smooth val="0"/>
          <c:extLst>
            <c:ext xmlns:c16="http://schemas.microsoft.com/office/drawing/2014/chart" uri="{C3380CC4-5D6E-409C-BE32-E72D297353CC}">
              <c16:uniqueId val="{00000001-D126-4C66-86C4-2859EC288805}"/>
            </c:ext>
          </c:extLst>
        </c:ser>
        <c:dLbls>
          <c:showLegendKey val="0"/>
          <c:showVal val="0"/>
          <c:showCatName val="0"/>
          <c:showSerName val="0"/>
          <c:showPercent val="0"/>
          <c:showBubbleSize val="0"/>
        </c:dLbls>
        <c:smooth val="0"/>
        <c:axId val="441469840"/>
        <c:axId val="441470800"/>
      </c:lineChart>
      <c:catAx>
        <c:axId val="441469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470800"/>
        <c:crosses val="autoZero"/>
        <c:auto val="1"/>
        <c:lblAlgn val="ctr"/>
        <c:lblOffset val="100"/>
        <c:noMultiLvlLbl val="0"/>
      </c:catAx>
      <c:valAx>
        <c:axId val="4414708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469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[Nike_vs_Adidas_Retail_Financial_Performance_Dashboard_Finished.xlsx]Revenue Trend!PivotTable11</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 Trend'!$B$3:$B$4</c:f>
              <c:strCache>
                <c:ptCount val="1"/>
                <c:pt idx="0">
                  <c:v>Adidas</c:v>
                </c:pt>
              </c:strCache>
            </c:strRef>
          </c:tx>
          <c:spPr>
            <a:ln w="28575" cap="rnd">
              <a:solidFill>
                <a:schemeClr val="accent1"/>
              </a:solidFill>
              <a:round/>
            </a:ln>
            <a:effectLst/>
          </c:spPr>
          <c:marker>
            <c:symbol val="none"/>
          </c:marker>
          <c:cat>
            <c:strRef>
              <c:f>'Revenue Trend'!$A$5:$A$8</c:f>
              <c:strCache>
                <c:ptCount val="4"/>
                <c:pt idx="0">
                  <c:v>Q1 2025</c:v>
                </c:pt>
                <c:pt idx="1">
                  <c:v>Q2 2025</c:v>
                </c:pt>
                <c:pt idx="2">
                  <c:v>Q3 2025</c:v>
                </c:pt>
                <c:pt idx="3">
                  <c:v>Q4 2025</c:v>
                </c:pt>
              </c:strCache>
            </c:strRef>
          </c:cat>
          <c:val>
            <c:numRef>
              <c:f>'Revenue Trend'!$B$5:$B$8</c:f>
              <c:numCache>
                <c:formatCode>#,##0</c:formatCode>
                <c:ptCount val="4"/>
                <c:pt idx="0">
                  <c:v>6470.5378709999995</c:v>
                </c:pt>
                <c:pt idx="1">
                  <c:v>6748.3914880000002</c:v>
                </c:pt>
                <c:pt idx="2">
                  <c:v>7751.9219700000003</c:v>
                </c:pt>
                <c:pt idx="3">
                  <c:v>7073.3814760000014</c:v>
                </c:pt>
              </c:numCache>
            </c:numRef>
          </c:val>
          <c:smooth val="0"/>
          <c:extLst>
            <c:ext xmlns:c16="http://schemas.microsoft.com/office/drawing/2014/chart" uri="{C3380CC4-5D6E-409C-BE32-E72D297353CC}">
              <c16:uniqueId val="{00000000-06E1-4204-B47A-0809F4C41EC2}"/>
            </c:ext>
          </c:extLst>
        </c:ser>
        <c:ser>
          <c:idx val="1"/>
          <c:order val="1"/>
          <c:tx>
            <c:strRef>
              <c:f>'Revenue Trend'!$C$3:$C$4</c:f>
              <c:strCache>
                <c:ptCount val="1"/>
                <c:pt idx="0">
                  <c:v>Nike</c:v>
                </c:pt>
              </c:strCache>
            </c:strRef>
          </c:tx>
          <c:spPr>
            <a:ln w="28575" cap="rnd">
              <a:solidFill>
                <a:schemeClr val="accent2"/>
              </a:solidFill>
              <a:round/>
            </a:ln>
            <a:effectLst/>
          </c:spPr>
          <c:marker>
            <c:symbol val="none"/>
          </c:marker>
          <c:cat>
            <c:strRef>
              <c:f>'Revenue Trend'!$A$5:$A$8</c:f>
              <c:strCache>
                <c:ptCount val="4"/>
                <c:pt idx="0">
                  <c:v>Q1 2025</c:v>
                </c:pt>
                <c:pt idx="1">
                  <c:v>Q2 2025</c:v>
                </c:pt>
                <c:pt idx="2">
                  <c:v>Q3 2025</c:v>
                </c:pt>
                <c:pt idx="3">
                  <c:v>Q4 2025</c:v>
                </c:pt>
              </c:strCache>
            </c:strRef>
          </c:cat>
          <c:val>
            <c:numRef>
              <c:f>'Revenue Trend'!$C$5:$C$8</c:f>
              <c:numCache>
                <c:formatCode>#,##0</c:formatCode>
                <c:ptCount val="4"/>
                <c:pt idx="0">
                  <c:v>11589</c:v>
                </c:pt>
                <c:pt idx="1">
                  <c:v>12354</c:v>
                </c:pt>
                <c:pt idx="2">
                  <c:v>11269</c:v>
                </c:pt>
                <c:pt idx="3">
                  <c:v>11097</c:v>
                </c:pt>
              </c:numCache>
            </c:numRef>
          </c:val>
          <c:smooth val="0"/>
          <c:extLst>
            <c:ext xmlns:c16="http://schemas.microsoft.com/office/drawing/2014/chart" uri="{C3380CC4-5D6E-409C-BE32-E72D297353CC}">
              <c16:uniqueId val="{00000001-06E1-4204-B47A-0809F4C41EC2}"/>
            </c:ext>
          </c:extLst>
        </c:ser>
        <c:dLbls>
          <c:showLegendKey val="0"/>
          <c:showVal val="0"/>
          <c:showCatName val="0"/>
          <c:showSerName val="0"/>
          <c:showPercent val="0"/>
          <c:showBubbleSize val="0"/>
        </c:dLbls>
        <c:smooth val="0"/>
        <c:axId val="1836690976"/>
        <c:axId val="1836693376"/>
      </c:lineChart>
      <c:catAx>
        <c:axId val="1836690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6693376"/>
        <c:crosses val="autoZero"/>
        <c:auto val="1"/>
        <c:lblAlgn val="ctr"/>
        <c:lblOffset val="100"/>
        <c:noMultiLvlLbl val="0"/>
      </c:catAx>
      <c:valAx>
        <c:axId val="18366933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6690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[Nike_vs_Adidas_Retail_Financial_Performance_Dashboard_Finished.xlsx]Gross Margin Trend!PivotTable12</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'Gross Margin Trend'!$B$3:$B$4</c:f>
              <c:strCache>
                <c:ptCount val="1"/>
                <c:pt idx="0">
                  <c:v>Adidas</c:v>
                </c:pt>
              </c:strCache>
            </c:strRef>
          </c:tx>
          <c:spPr>
            <a:ln w="28575" cap="rnd">
              <a:solidFill>
                <a:schemeClr val="accent1"/>
              </a:solidFill>
              <a:round/>
            </a:ln>
            <a:effectLst/>
          </c:spPr>
          <c:marker>
            <c:symbol val="none"/>
          </c:marker>
          <c:cat>
            <c:strRef>
              <c:f>'Gross Margin Trend'!$A$5:$A$8</c:f>
              <c:strCache>
                <c:ptCount val="4"/>
                <c:pt idx="0">
                  <c:v>Q1 2025</c:v>
                </c:pt>
                <c:pt idx="1">
                  <c:v>Q2 2025</c:v>
                </c:pt>
                <c:pt idx="2">
                  <c:v>Q3 2025</c:v>
                </c:pt>
                <c:pt idx="3">
                  <c:v>Q4 2025</c:v>
                </c:pt>
              </c:strCache>
            </c:strRef>
          </c:cat>
          <c:val>
            <c:numRef>
              <c:f>'Gross Margin Trend'!$B$5:$B$8</c:f>
              <c:numCache>
                <c:formatCode>0.00%</c:formatCode>
                <c:ptCount val="4"/>
                <c:pt idx="0">
                  <c:v>0.52088412156671537</c:v>
                </c:pt>
                <c:pt idx="1">
                  <c:v>0.51696908602150538</c:v>
                </c:pt>
                <c:pt idx="2">
                  <c:v>0.51809954751131226</c:v>
                </c:pt>
                <c:pt idx="3">
                  <c:v>0.50822909809084926</c:v>
                </c:pt>
              </c:numCache>
            </c:numRef>
          </c:val>
          <c:smooth val="0"/>
          <c:extLst>
            <c:ext xmlns:c16="http://schemas.microsoft.com/office/drawing/2014/chart" uri="{C3380CC4-5D6E-409C-BE32-E72D297353CC}">
              <c16:uniqueId val="{00000000-9312-4DD7-97DF-7A47F6A54893}"/>
            </c:ext>
          </c:extLst>
        </c:ser>
        <c:ser>
          <c:idx val="1"/>
          <c:order val="1"/>
          <c:tx>
            <c:strRef>
              <c:f>'Gross Margin Trend'!$C$3:$C$4</c:f>
              <c:strCache>
                <c:ptCount val="1"/>
                <c:pt idx="0">
                  <c:v>Nike</c:v>
                </c:pt>
              </c:strCache>
            </c:strRef>
          </c:tx>
          <c:spPr>
            <a:ln w="28575" cap="rnd">
              <a:solidFill>
                <a:schemeClr val="accent2"/>
              </a:solidFill>
              <a:round/>
            </a:ln>
            <a:effectLst/>
          </c:spPr>
          <c:marker>
            <c:symbol val="none"/>
          </c:marker>
          <c:cat>
            <c:strRef>
              <c:f>'Gross Margin Trend'!$A$5:$A$8</c:f>
              <c:strCache>
                <c:ptCount val="4"/>
                <c:pt idx="0">
                  <c:v>Q1 2025</c:v>
                </c:pt>
                <c:pt idx="1">
                  <c:v>Q2 2025</c:v>
                </c:pt>
                <c:pt idx="2">
                  <c:v>Q3 2025</c:v>
                </c:pt>
                <c:pt idx="3">
                  <c:v>Q4 2025</c:v>
                </c:pt>
              </c:strCache>
            </c:strRef>
          </c:cat>
          <c:val>
            <c:numRef>
              <c:f>'Gross Margin Trend'!$C$5:$C$8</c:f>
              <c:numCache>
                <c:formatCode>0.00%</c:formatCode>
                <c:ptCount val="4"/>
                <c:pt idx="0">
                  <c:v>0.45361981189058592</c:v>
                </c:pt>
                <c:pt idx="1">
                  <c:v>0.43621499109600131</c:v>
                </c:pt>
                <c:pt idx="2">
                  <c:v>0.41485491170467653</c:v>
                </c:pt>
                <c:pt idx="3">
                  <c:v>0.40272145624943678</c:v>
                </c:pt>
              </c:numCache>
            </c:numRef>
          </c:val>
          <c:smooth val="0"/>
          <c:extLst>
            <c:ext xmlns:c16="http://schemas.microsoft.com/office/drawing/2014/chart" uri="{C3380CC4-5D6E-409C-BE32-E72D297353CC}">
              <c16:uniqueId val="{00000001-9312-4DD7-97DF-7A47F6A54893}"/>
            </c:ext>
          </c:extLst>
        </c:ser>
        <c:dLbls>
          <c:showLegendKey val="0"/>
          <c:showVal val="0"/>
          <c:showCatName val="0"/>
          <c:showSerName val="0"/>
          <c:showPercent val="0"/>
          <c:showBubbleSize val="0"/>
        </c:dLbls>
        <c:smooth val="0"/>
        <c:axId val="2080563936"/>
        <c:axId val="2080547616"/>
      </c:lineChart>
      <c:catAx>
        <c:axId val="2080563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547616"/>
        <c:crosses val="autoZero"/>
        <c:auto val="1"/>
        <c:lblAlgn val="ctr"/>
        <c:lblOffset val="100"/>
        <c:noMultiLvlLbl val="0"/>
      </c:catAx>
      <c:valAx>
        <c:axId val="20805476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563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[Nike_vs_Adidas_Retail_Financial_Performance_Dashboard_Finished.xlsx]Operating Margin!PivotTable13</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'Operating Margin'!$B$3:$B$4</c:f>
              <c:strCache>
                <c:ptCount val="1"/>
                <c:pt idx="0">
                  <c:v>Adidas</c:v>
                </c:pt>
              </c:strCache>
            </c:strRef>
          </c:tx>
          <c:spPr>
            <a:ln w="28575" cap="rnd">
              <a:solidFill>
                <a:schemeClr val="accent1"/>
              </a:solidFill>
              <a:round/>
            </a:ln>
            <a:effectLst/>
          </c:spPr>
          <c:marker>
            <c:symbol val="none"/>
          </c:marker>
          <c:cat>
            <c:strRef>
              <c:f>'Operating Margin'!$A$5:$A$8</c:f>
              <c:strCache>
                <c:ptCount val="4"/>
                <c:pt idx="0">
                  <c:v>Q1 2025</c:v>
                </c:pt>
                <c:pt idx="1">
                  <c:v>Q2 2025</c:v>
                </c:pt>
                <c:pt idx="2">
                  <c:v>Q3 2025</c:v>
                </c:pt>
                <c:pt idx="3">
                  <c:v>Q4 2025</c:v>
                </c:pt>
              </c:strCache>
            </c:strRef>
          </c:cat>
          <c:val>
            <c:numRef>
              <c:f>'Operating Margin'!$B$5:$B$8</c:f>
              <c:numCache>
                <c:formatCode>0.00%</c:formatCode>
                <c:ptCount val="4"/>
                <c:pt idx="0">
                  <c:v>9.9138631561839746E-2</c:v>
                </c:pt>
                <c:pt idx="1">
                  <c:v>9.1733870967741937E-2</c:v>
                </c:pt>
                <c:pt idx="2">
                  <c:v>0.11101055806938159</c:v>
                </c:pt>
                <c:pt idx="3">
                  <c:v>2.6991441737985518E-2</c:v>
                </c:pt>
              </c:numCache>
            </c:numRef>
          </c:val>
          <c:smooth val="0"/>
          <c:extLst>
            <c:ext xmlns:c16="http://schemas.microsoft.com/office/drawing/2014/chart" uri="{C3380CC4-5D6E-409C-BE32-E72D297353CC}">
              <c16:uniqueId val="{00000000-22C6-4EB5-9D7F-FB8E87683015}"/>
            </c:ext>
          </c:extLst>
        </c:ser>
        <c:ser>
          <c:idx val="1"/>
          <c:order val="1"/>
          <c:tx>
            <c:strRef>
              <c:f>'Operating Margin'!$C$3:$C$4</c:f>
              <c:strCache>
                <c:ptCount val="1"/>
                <c:pt idx="0">
                  <c:v>Nike</c:v>
                </c:pt>
              </c:strCache>
            </c:strRef>
          </c:tx>
          <c:spPr>
            <a:ln w="28575" cap="rnd">
              <a:solidFill>
                <a:schemeClr val="accent2"/>
              </a:solidFill>
              <a:round/>
            </a:ln>
            <a:effectLst/>
          </c:spPr>
          <c:marker>
            <c:symbol val="none"/>
          </c:marker>
          <c:cat>
            <c:strRef>
              <c:f>'Operating Margin'!$A$5:$A$8</c:f>
              <c:strCache>
                <c:ptCount val="4"/>
                <c:pt idx="0">
                  <c:v>Q1 2025</c:v>
                </c:pt>
                <c:pt idx="1">
                  <c:v>Q2 2025</c:v>
                </c:pt>
                <c:pt idx="2">
                  <c:v>Q3 2025</c:v>
                </c:pt>
                <c:pt idx="3">
                  <c:v>Q4 2025</c:v>
                </c:pt>
              </c:strCache>
            </c:strRef>
          </c:cat>
          <c:val>
            <c:numRef>
              <c:f>'Operating Margin'!$C$5:$C$8</c:f>
              <c:numCache>
                <c:formatCode>0.00%</c:formatCode>
                <c:ptCount val="4"/>
                <c:pt idx="0">
                  <c:v>0.10906894468892915</c:v>
                </c:pt>
                <c:pt idx="1">
                  <c:v>0.11267605633802817</c:v>
                </c:pt>
                <c:pt idx="2">
                  <c:v>7.3298429319371722E-2</c:v>
                </c:pt>
                <c:pt idx="3">
                  <c:v>2.6673875822294312E-2</c:v>
                </c:pt>
              </c:numCache>
            </c:numRef>
          </c:val>
          <c:smooth val="0"/>
          <c:extLst>
            <c:ext xmlns:c16="http://schemas.microsoft.com/office/drawing/2014/chart" uri="{C3380CC4-5D6E-409C-BE32-E72D297353CC}">
              <c16:uniqueId val="{00000001-22C6-4EB5-9D7F-FB8E87683015}"/>
            </c:ext>
          </c:extLst>
        </c:ser>
        <c:dLbls>
          <c:showLegendKey val="0"/>
          <c:showVal val="0"/>
          <c:showCatName val="0"/>
          <c:showSerName val="0"/>
          <c:showPercent val="0"/>
          <c:showBubbleSize val="0"/>
        </c:dLbls>
        <c:smooth val="0"/>
        <c:axId val="683609008"/>
        <c:axId val="683609488"/>
      </c:lineChart>
      <c:catAx>
        <c:axId val="683609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3609488"/>
        <c:crosses val="autoZero"/>
        <c:auto val="1"/>
        <c:lblAlgn val="ctr"/>
        <c:lblOffset val="100"/>
        <c:noMultiLvlLbl val="0"/>
      </c:catAx>
      <c:valAx>
        <c:axId val="6836094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3609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[Nike_vs_Adidas_Retail_Financial_Performance_Dashboard_Finished.xlsx]Net profit Margin Trend!PivotTable14</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'Net profit Margin Trend'!$B$3:$B$4</c:f>
              <c:strCache>
                <c:ptCount val="1"/>
                <c:pt idx="0">
                  <c:v>Adidas</c:v>
                </c:pt>
              </c:strCache>
            </c:strRef>
          </c:tx>
          <c:spPr>
            <a:ln w="28575" cap="rnd">
              <a:solidFill>
                <a:schemeClr val="accent1"/>
              </a:solidFill>
              <a:round/>
            </a:ln>
            <a:effectLst/>
          </c:spPr>
          <c:marker>
            <c:symbol val="none"/>
          </c:marker>
          <c:cat>
            <c:strRef>
              <c:f>'Net profit Margin Trend'!$A$5:$A$8</c:f>
              <c:strCache>
                <c:ptCount val="4"/>
                <c:pt idx="0">
                  <c:v>Q1 2025</c:v>
                </c:pt>
                <c:pt idx="1">
                  <c:v>Q2 2025</c:v>
                </c:pt>
                <c:pt idx="2">
                  <c:v>Q3 2025</c:v>
                </c:pt>
                <c:pt idx="3">
                  <c:v>Q4 2025</c:v>
                </c:pt>
              </c:strCache>
            </c:strRef>
          </c:cat>
          <c:val>
            <c:numRef>
              <c:f>'Net profit Margin Trend'!$B$5:$B$8</c:f>
              <c:numCache>
                <c:formatCode>0.00%</c:formatCode>
                <c:ptCount val="4"/>
                <c:pt idx="0">
                  <c:v>6.9722086786933202E-2</c:v>
                </c:pt>
                <c:pt idx="1">
                  <c:v>6.4012096774193547E-2</c:v>
                </c:pt>
                <c:pt idx="2">
                  <c:v>7.3152337858220215E-2</c:v>
                </c:pt>
                <c:pt idx="3">
                  <c:v>1.4976958525345621E-2</c:v>
                </c:pt>
              </c:numCache>
            </c:numRef>
          </c:val>
          <c:smooth val="0"/>
          <c:extLst>
            <c:ext xmlns:c16="http://schemas.microsoft.com/office/drawing/2014/chart" uri="{C3380CC4-5D6E-409C-BE32-E72D297353CC}">
              <c16:uniqueId val="{00000000-66EB-436B-8C2A-48C3D05DBCD2}"/>
            </c:ext>
          </c:extLst>
        </c:ser>
        <c:ser>
          <c:idx val="1"/>
          <c:order val="1"/>
          <c:tx>
            <c:strRef>
              <c:f>'Net profit Margin Trend'!$C$3:$C$4</c:f>
              <c:strCache>
                <c:ptCount val="1"/>
                <c:pt idx="0">
                  <c:v>Nike</c:v>
                </c:pt>
              </c:strCache>
            </c:strRef>
          </c:tx>
          <c:spPr>
            <a:ln w="28575" cap="rnd">
              <a:solidFill>
                <a:schemeClr val="accent2"/>
              </a:solidFill>
              <a:round/>
            </a:ln>
            <a:effectLst/>
          </c:spPr>
          <c:marker>
            <c:symbol val="none"/>
          </c:marker>
          <c:cat>
            <c:strRef>
              <c:f>'Net profit Margin Trend'!$A$5:$A$8</c:f>
              <c:strCache>
                <c:ptCount val="4"/>
                <c:pt idx="0">
                  <c:v>Q1 2025</c:v>
                </c:pt>
                <c:pt idx="1">
                  <c:v>Q2 2025</c:v>
                </c:pt>
                <c:pt idx="2">
                  <c:v>Q3 2025</c:v>
                </c:pt>
                <c:pt idx="3">
                  <c:v>Q4 2025</c:v>
                </c:pt>
              </c:strCache>
            </c:strRef>
          </c:cat>
          <c:val>
            <c:numRef>
              <c:f>'Net profit Margin Trend'!$C$5:$C$8</c:f>
              <c:numCache>
                <c:formatCode>0.00%</c:formatCode>
                <c:ptCount val="4"/>
                <c:pt idx="0">
                  <c:v>9.0689446889291564E-2</c:v>
                </c:pt>
                <c:pt idx="1">
                  <c:v>9.4139549943338188E-2</c:v>
                </c:pt>
                <c:pt idx="2">
                  <c:v>7.045878072588517E-2</c:v>
                </c:pt>
                <c:pt idx="3">
                  <c:v>1.9014147967919257E-2</c:v>
                </c:pt>
              </c:numCache>
            </c:numRef>
          </c:val>
          <c:smooth val="0"/>
          <c:extLst>
            <c:ext xmlns:c16="http://schemas.microsoft.com/office/drawing/2014/chart" uri="{C3380CC4-5D6E-409C-BE32-E72D297353CC}">
              <c16:uniqueId val="{00000001-66EB-436B-8C2A-48C3D05DBCD2}"/>
            </c:ext>
          </c:extLst>
        </c:ser>
        <c:dLbls>
          <c:showLegendKey val="0"/>
          <c:showVal val="0"/>
          <c:showCatName val="0"/>
          <c:showSerName val="0"/>
          <c:showPercent val="0"/>
          <c:showBubbleSize val="0"/>
        </c:dLbls>
        <c:smooth val="0"/>
        <c:axId val="96294656"/>
        <c:axId val="96292736"/>
      </c:lineChart>
      <c:catAx>
        <c:axId val="96294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92736"/>
        <c:crosses val="autoZero"/>
        <c:auto val="1"/>
        <c:lblAlgn val="ctr"/>
        <c:lblOffset val="100"/>
        <c:noMultiLvlLbl val="0"/>
      </c:catAx>
      <c:valAx>
        <c:axId val="962927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94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[Nike_vs_Adidas_Retail_Financial_Performance_Dashboard_Finished.xlsx]Operating Cash Flow !PivotTable15</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'Operating Cash Flow '!$B$3:$B$4</c:f>
              <c:strCache>
                <c:ptCount val="1"/>
                <c:pt idx="0">
                  <c:v>Adidas</c:v>
                </c:pt>
              </c:strCache>
            </c:strRef>
          </c:tx>
          <c:spPr>
            <a:solidFill>
              <a:schemeClr val="accent1"/>
            </a:solidFill>
            <a:ln>
              <a:noFill/>
            </a:ln>
            <a:effectLst/>
          </c:spPr>
          <c:invertIfNegative val="0"/>
          <c:cat>
            <c:strRef>
              <c:f>'Operating Cash Flow '!$A$5:$A$8</c:f>
              <c:strCache>
                <c:ptCount val="4"/>
                <c:pt idx="0">
                  <c:v>Q1 2025</c:v>
                </c:pt>
                <c:pt idx="1">
                  <c:v>Q2 2025</c:v>
                </c:pt>
                <c:pt idx="2">
                  <c:v>Q3 2025</c:v>
                </c:pt>
                <c:pt idx="3">
                  <c:v>Q4 2025</c:v>
                </c:pt>
              </c:strCache>
            </c:strRef>
          </c:cat>
          <c:val>
            <c:numRef>
              <c:f>'Operating Cash Flow '!$B$5:$B$8</c:f>
              <c:numCache>
                <c:formatCode>0.00%</c:formatCode>
                <c:ptCount val="4"/>
                <c:pt idx="0">
                  <c:v>-0.15179587193239069</c:v>
                </c:pt>
                <c:pt idx="1">
                  <c:v>3.0241935483870967E-3</c:v>
                </c:pt>
                <c:pt idx="2">
                  <c:v>9.6681749622926097E-2</c:v>
                </c:pt>
                <c:pt idx="3">
                  <c:v>0.16886109282422646</c:v>
                </c:pt>
              </c:numCache>
            </c:numRef>
          </c:val>
          <c:extLst>
            <c:ext xmlns:c16="http://schemas.microsoft.com/office/drawing/2014/chart" uri="{C3380CC4-5D6E-409C-BE32-E72D297353CC}">
              <c16:uniqueId val="{00000000-4CB3-4AEB-8B5B-3C5FD9E77B22}"/>
            </c:ext>
          </c:extLst>
        </c:ser>
        <c:ser>
          <c:idx val="1"/>
          <c:order val="1"/>
          <c:tx>
            <c:strRef>
              <c:f>'Operating Cash Flow '!$C$3:$C$4</c:f>
              <c:strCache>
                <c:ptCount val="1"/>
                <c:pt idx="0">
                  <c:v>Nike</c:v>
                </c:pt>
              </c:strCache>
            </c:strRef>
          </c:tx>
          <c:spPr>
            <a:solidFill>
              <a:schemeClr val="accent2"/>
            </a:solidFill>
            <a:ln>
              <a:noFill/>
            </a:ln>
            <a:effectLst/>
          </c:spPr>
          <c:invertIfNegative val="0"/>
          <c:cat>
            <c:strRef>
              <c:f>'Operating Cash Flow '!$A$5:$A$8</c:f>
              <c:strCache>
                <c:ptCount val="4"/>
                <c:pt idx="0">
                  <c:v>Q1 2025</c:v>
                </c:pt>
                <c:pt idx="1">
                  <c:v>Q2 2025</c:v>
                </c:pt>
                <c:pt idx="2">
                  <c:v>Q3 2025</c:v>
                </c:pt>
                <c:pt idx="3">
                  <c:v>Q4 2025</c:v>
                </c:pt>
              </c:strCache>
            </c:strRef>
          </c:cat>
          <c:val>
            <c:numRef>
              <c:f>'Operating Cash Flow '!$C$5:$C$8</c:f>
              <c:numCache>
                <c:formatCode>0.00%</c:formatCode>
                <c:ptCount val="4"/>
                <c:pt idx="0">
                  <c:v>3.3997756493226339E-2</c:v>
                </c:pt>
                <c:pt idx="1">
                  <c:v>8.4911769467378981E-2</c:v>
                </c:pt>
                <c:pt idx="2">
                  <c:v>0.15902032123524715</c:v>
                </c:pt>
                <c:pt idx="3">
                  <c:v>4.1722988195007658E-2</c:v>
                </c:pt>
              </c:numCache>
            </c:numRef>
          </c:val>
          <c:extLst>
            <c:ext xmlns:c16="http://schemas.microsoft.com/office/drawing/2014/chart" uri="{C3380CC4-5D6E-409C-BE32-E72D297353CC}">
              <c16:uniqueId val="{00000001-4CB3-4AEB-8B5B-3C5FD9E77B22}"/>
            </c:ext>
          </c:extLst>
        </c:ser>
        <c:dLbls>
          <c:showLegendKey val="0"/>
          <c:showVal val="0"/>
          <c:showCatName val="0"/>
          <c:showSerName val="0"/>
          <c:showPercent val="0"/>
          <c:showBubbleSize val="0"/>
        </c:dLbls>
        <c:gapWidth val="219"/>
        <c:overlap val="-27"/>
        <c:axId val="441465040"/>
        <c:axId val="441465520"/>
      </c:barChart>
      <c:catAx>
        <c:axId val="441465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465520"/>
        <c:crosses val="autoZero"/>
        <c:auto val="1"/>
        <c:lblAlgn val="ctr"/>
        <c:lblOffset val="100"/>
        <c:noMultiLvlLbl val="0"/>
      </c:catAx>
      <c:valAx>
        <c:axId val="4414655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465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[Nike_vs_Adidas_Retail_Financial_Performance_Dashboard_Finished.xlsx]Financial Health A!PivotTable17</c:name>
    <c:fmtId val="4"/>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'Financial Health A'!$B$3:$B$4</c:f>
              <c:strCache>
                <c:ptCount val="1"/>
                <c:pt idx="0">
                  <c:v>Adidas</c:v>
                </c:pt>
              </c:strCache>
            </c:strRef>
          </c:tx>
          <c:spPr>
            <a:ln w="28575" cap="rnd">
              <a:solidFill>
                <a:schemeClr val="accent1"/>
              </a:solidFill>
              <a:round/>
            </a:ln>
            <a:effectLst/>
          </c:spPr>
          <c:marker>
            <c:symbol val="none"/>
          </c:marker>
          <c:cat>
            <c:strRef>
              <c:f>'Financial Health A'!$A$5:$A$8</c:f>
              <c:strCache>
                <c:ptCount val="4"/>
                <c:pt idx="0">
                  <c:v>Q1 2025</c:v>
                </c:pt>
                <c:pt idx="1">
                  <c:v>Q2 2025</c:v>
                </c:pt>
                <c:pt idx="2">
                  <c:v>Q3 2025</c:v>
                </c:pt>
                <c:pt idx="3">
                  <c:v>Q4 2025</c:v>
                </c:pt>
              </c:strCache>
            </c:strRef>
          </c:cat>
          <c:val>
            <c:numRef>
              <c:f>'Financial Health A'!$B$5:$B$8</c:f>
              <c:numCache>
                <c:formatCode>0.00</c:formatCode>
                <c:ptCount val="4"/>
                <c:pt idx="0">
                  <c:v>1.2884142250055917</c:v>
                </c:pt>
                <c:pt idx="1">
                  <c:v>1.2536547260350408</c:v>
                </c:pt>
                <c:pt idx="2">
                  <c:v>1.3103032957407206</c:v>
                </c:pt>
                <c:pt idx="3">
                  <c:v>1.3170222124477677</c:v>
                </c:pt>
              </c:numCache>
            </c:numRef>
          </c:val>
          <c:smooth val="0"/>
          <c:extLst>
            <c:ext xmlns:c16="http://schemas.microsoft.com/office/drawing/2014/chart" uri="{C3380CC4-5D6E-409C-BE32-E72D297353CC}">
              <c16:uniqueId val="{00000000-6FDF-47DC-9D32-D611498DCCF3}"/>
            </c:ext>
          </c:extLst>
        </c:ser>
        <c:ser>
          <c:idx val="1"/>
          <c:order val="1"/>
          <c:tx>
            <c:strRef>
              <c:f>'Financial Health A'!$C$3:$C$4</c:f>
              <c:strCache>
                <c:ptCount val="1"/>
                <c:pt idx="0">
                  <c:v>Nike</c:v>
                </c:pt>
              </c:strCache>
            </c:strRef>
          </c:tx>
          <c:spPr>
            <a:ln w="28575" cap="rnd">
              <a:solidFill>
                <a:schemeClr val="accent2"/>
              </a:solidFill>
              <a:round/>
            </a:ln>
            <a:effectLst/>
          </c:spPr>
          <c:marker>
            <c:symbol val="none"/>
          </c:marker>
          <c:cat>
            <c:strRef>
              <c:f>'Financial Health A'!$A$5:$A$8</c:f>
              <c:strCache>
                <c:ptCount val="4"/>
                <c:pt idx="0">
                  <c:v>Q1 2025</c:v>
                </c:pt>
                <c:pt idx="1">
                  <c:v>Q2 2025</c:v>
                </c:pt>
                <c:pt idx="2">
                  <c:v>Q3 2025</c:v>
                </c:pt>
                <c:pt idx="3">
                  <c:v>Q4 2025</c:v>
                </c:pt>
              </c:strCache>
            </c:strRef>
          </c:cat>
          <c:val>
            <c:numRef>
              <c:f>'Financial Health A'!$C$5:$C$8</c:f>
              <c:numCache>
                <c:formatCode>0.00</c:formatCode>
                <c:ptCount val="4"/>
                <c:pt idx="0">
                  <c:v>2.3560406473466315</c:v>
                </c:pt>
                <c:pt idx="1">
                  <c:v>2.2212342166103505</c:v>
                </c:pt>
                <c:pt idx="2">
                  <c:v>2.1927292167869554</c:v>
                </c:pt>
                <c:pt idx="3">
                  <c:v>2.2110543251940187</c:v>
                </c:pt>
              </c:numCache>
            </c:numRef>
          </c:val>
          <c:smooth val="0"/>
          <c:extLst>
            <c:ext xmlns:c16="http://schemas.microsoft.com/office/drawing/2014/chart" uri="{C3380CC4-5D6E-409C-BE32-E72D297353CC}">
              <c16:uniqueId val="{00000001-6FDF-47DC-9D32-D611498DCCF3}"/>
            </c:ext>
          </c:extLst>
        </c:ser>
        <c:dLbls>
          <c:showLegendKey val="0"/>
          <c:showVal val="0"/>
          <c:showCatName val="0"/>
          <c:showSerName val="0"/>
          <c:showPercent val="0"/>
          <c:showBubbleSize val="0"/>
        </c:dLbls>
        <c:smooth val="0"/>
        <c:axId val="118950976"/>
        <c:axId val="118957216"/>
      </c:lineChart>
      <c:catAx>
        <c:axId val="118950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57216"/>
        <c:crosses val="autoZero"/>
        <c:auto val="1"/>
        <c:lblAlgn val="ctr"/>
        <c:lblOffset val="100"/>
        <c:noMultiLvlLbl val="0"/>
      </c:catAx>
      <c:valAx>
        <c:axId val="1189572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50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[Nike_vs_Adidas_Retail_Financial_Performance_Dashboard_Finished.xlsx]Financial Health B!PivotTable18</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'Financial Health B'!$B$3:$B$4</c:f>
              <c:strCache>
                <c:ptCount val="1"/>
                <c:pt idx="0">
                  <c:v>Adidas</c:v>
                </c:pt>
              </c:strCache>
            </c:strRef>
          </c:tx>
          <c:spPr>
            <a:ln w="28575" cap="rnd">
              <a:solidFill>
                <a:schemeClr val="accent1"/>
              </a:solidFill>
              <a:round/>
            </a:ln>
            <a:effectLst/>
          </c:spPr>
          <c:marker>
            <c:symbol val="none"/>
          </c:marker>
          <c:cat>
            <c:strRef>
              <c:f>'Financial Health B'!$A$5:$A$8</c:f>
              <c:strCache>
                <c:ptCount val="4"/>
                <c:pt idx="0">
                  <c:v>Q1 2025</c:v>
                </c:pt>
                <c:pt idx="1">
                  <c:v>Q2 2025</c:v>
                </c:pt>
                <c:pt idx="2">
                  <c:v>Q3 2025</c:v>
                </c:pt>
                <c:pt idx="3">
                  <c:v>Q4 2025</c:v>
                </c:pt>
              </c:strCache>
            </c:strRef>
          </c:cat>
          <c:val>
            <c:numRef>
              <c:f>'Financial Health B'!$B$5:$B$8</c:f>
              <c:numCache>
                <c:formatCode>0.00%</c:formatCode>
                <c:ptCount val="4"/>
                <c:pt idx="0">
                  <c:v>0.69702852023294015</c:v>
                </c:pt>
                <c:pt idx="1">
                  <c:v>0.71516488025026925</c:v>
                </c:pt>
                <c:pt idx="2">
                  <c:v>0.69826773216856108</c:v>
                </c:pt>
                <c:pt idx="3">
                  <c:v>0.69770999901293063</c:v>
                </c:pt>
              </c:numCache>
            </c:numRef>
          </c:val>
          <c:smooth val="0"/>
          <c:extLst>
            <c:ext xmlns:c16="http://schemas.microsoft.com/office/drawing/2014/chart" uri="{C3380CC4-5D6E-409C-BE32-E72D297353CC}">
              <c16:uniqueId val="{00000000-8F97-45B6-BA85-32682C1EB6ED}"/>
            </c:ext>
          </c:extLst>
        </c:ser>
        <c:ser>
          <c:idx val="1"/>
          <c:order val="1"/>
          <c:tx>
            <c:strRef>
              <c:f>'Financial Health B'!$C$3:$C$4</c:f>
              <c:strCache>
                <c:ptCount val="1"/>
                <c:pt idx="0">
                  <c:v>Nike</c:v>
                </c:pt>
              </c:strCache>
            </c:strRef>
          </c:tx>
          <c:spPr>
            <a:ln w="28575" cap="rnd">
              <a:solidFill>
                <a:schemeClr val="accent2"/>
              </a:solidFill>
              <a:round/>
            </a:ln>
            <a:effectLst/>
          </c:spPr>
          <c:marker>
            <c:symbol val="none"/>
          </c:marker>
          <c:cat>
            <c:strRef>
              <c:f>'Financial Health B'!$A$5:$A$8</c:f>
              <c:strCache>
                <c:ptCount val="4"/>
                <c:pt idx="0">
                  <c:v>Q1 2025</c:v>
                </c:pt>
                <c:pt idx="1">
                  <c:v>Q2 2025</c:v>
                </c:pt>
                <c:pt idx="2">
                  <c:v>Q3 2025</c:v>
                </c:pt>
                <c:pt idx="3">
                  <c:v>Q4 2025</c:v>
                </c:pt>
              </c:strCache>
            </c:strRef>
          </c:cat>
          <c:val>
            <c:numRef>
              <c:f>'Financial Health B'!$C$5:$C$8</c:f>
              <c:numCache>
                <c:formatCode>0.00%</c:formatCode>
                <c:ptCount val="4"/>
                <c:pt idx="0">
                  <c:v>0.63176380489608364</c:v>
                </c:pt>
                <c:pt idx="1">
                  <c:v>0.63020627519165417</c:v>
                </c:pt>
                <c:pt idx="2">
                  <c:v>0.62937581033524725</c:v>
                </c:pt>
                <c:pt idx="3">
                  <c:v>0.6387818147024249</c:v>
                </c:pt>
              </c:numCache>
            </c:numRef>
          </c:val>
          <c:smooth val="0"/>
          <c:extLst>
            <c:ext xmlns:c16="http://schemas.microsoft.com/office/drawing/2014/chart" uri="{C3380CC4-5D6E-409C-BE32-E72D297353CC}">
              <c16:uniqueId val="{00000001-8F97-45B6-BA85-32682C1EB6ED}"/>
            </c:ext>
          </c:extLst>
        </c:ser>
        <c:dLbls>
          <c:showLegendKey val="0"/>
          <c:showVal val="0"/>
          <c:showCatName val="0"/>
          <c:showSerName val="0"/>
          <c:showPercent val="0"/>
          <c:showBubbleSize val="0"/>
        </c:dLbls>
        <c:smooth val="0"/>
        <c:axId val="441469840"/>
        <c:axId val="441470800"/>
      </c:lineChart>
      <c:catAx>
        <c:axId val="441469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470800"/>
        <c:crosses val="autoZero"/>
        <c:auto val="1"/>
        <c:lblAlgn val="ctr"/>
        <c:lblOffset val="100"/>
        <c:noMultiLvlLbl val="0"/>
      </c:catAx>
      <c:valAx>
        <c:axId val="4414708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469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17145</xdr:colOff>
      <xdr:row>7</xdr:row>
      <xdr:rowOff>1903</xdr:rowOff>
    </xdr:from>
    <xdr:to>
      <xdr:col>6</xdr:col>
      <xdr:colOff>207645</xdr:colOff>
      <xdr:row>18</xdr:row>
      <xdr:rowOff>115727</xdr:rowOff>
    </xdr:to>
    <xdr:graphicFrame macro="">
      <xdr:nvGraphicFramePr>
        <xdr:cNvPr id="2" name="Chart 1">
          <a:extLst>
            <a:ext uri="{FF2B5EF4-FFF2-40B4-BE49-F238E27FC236}">
              <a16:creationId xmlns:a16="http://schemas.microsoft.com/office/drawing/2014/main" id="{821379B3-D0BA-4424-868C-E4EB3E21B7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363855</xdr:colOff>
      <xdr:row>7</xdr:row>
      <xdr:rowOff>1903</xdr:rowOff>
    </xdr:from>
    <xdr:to>
      <xdr:col>10</xdr:col>
      <xdr:colOff>897255</xdr:colOff>
      <xdr:row>18</xdr:row>
      <xdr:rowOff>118108</xdr:rowOff>
    </xdr:to>
    <xdr:graphicFrame macro="">
      <xdr:nvGraphicFramePr>
        <xdr:cNvPr id="3" name="Chart 2">
          <a:extLst>
            <a:ext uri="{FF2B5EF4-FFF2-40B4-BE49-F238E27FC236}">
              <a16:creationId xmlns:a16="http://schemas.microsoft.com/office/drawing/2014/main" id="{B2509600-22C2-4BBC-AD6F-9E61BDCCD4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1045845</xdr:colOff>
      <xdr:row>7</xdr:row>
      <xdr:rowOff>1903</xdr:rowOff>
    </xdr:from>
    <xdr:to>
      <xdr:col>15</xdr:col>
      <xdr:colOff>520065</xdr:colOff>
      <xdr:row>18</xdr:row>
      <xdr:rowOff>114298</xdr:rowOff>
    </xdr:to>
    <xdr:graphicFrame macro="">
      <xdr:nvGraphicFramePr>
        <xdr:cNvPr id="4" name="Chart 3">
          <a:extLst>
            <a:ext uri="{FF2B5EF4-FFF2-40B4-BE49-F238E27FC236}">
              <a16:creationId xmlns:a16="http://schemas.microsoft.com/office/drawing/2014/main" id="{95E2F5D1-21A8-4051-B898-188BF261BA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163830</xdr:colOff>
      <xdr:row>19</xdr:row>
      <xdr:rowOff>131445</xdr:rowOff>
    </xdr:from>
    <xdr:to>
      <xdr:col>6</xdr:col>
      <xdr:colOff>340995</xdr:colOff>
      <xdr:row>31</xdr:row>
      <xdr:rowOff>61437</xdr:rowOff>
    </xdr:to>
    <xdr:graphicFrame macro="">
      <xdr:nvGraphicFramePr>
        <xdr:cNvPr id="5" name="Chart 4">
          <a:extLst>
            <a:ext uri="{FF2B5EF4-FFF2-40B4-BE49-F238E27FC236}">
              <a16:creationId xmlns:a16="http://schemas.microsoft.com/office/drawing/2014/main" id="{C78D1B67-6A05-4F53-965C-456478C937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483870</xdr:colOff>
      <xdr:row>19</xdr:row>
      <xdr:rowOff>135255</xdr:rowOff>
    </xdr:from>
    <xdr:to>
      <xdr:col>10</xdr:col>
      <xdr:colOff>1021080</xdr:colOff>
      <xdr:row>31</xdr:row>
      <xdr:rowOff>59055</xdr:rowOff>
    </xdr:to>
    <xdr:graphicFrame macro="">
      <xdr:nvGraphicFramePr>
        <xdr:cNvPr id="7" name="Chart 6">
          <a:extLst>
            <a:ext uri="{FF2B5EF4-FFF2-40B4-BE49-F238E27FC236}">
              <a16:creationId xmlns:a16="http://schemas.microsoft.com/office/drawing/2014/main" id="{D415964B-021D-4CAB-83F9-B317B441AF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1160145</xdr:colOff>
      <xdr:row>19</xdr:row>
      <xdr:rowOff>131445</xdr:rowOff>
    </xdr:from>
    <xdr:to>
      <xdr:col>16</xdr:col>
      <xdr:colOff>40005</xdr:colOff>
      <xdr:row>31</xdr:row>
      <xdr:rowOff>85725</xdr:rowOff>
    </xdr:to>
    <xdr:graphicFrame macro="">
      <xdr:nvGraphicFramePr>
        <xdr:cNvPr id="8" name="Chart 7">
          <a:extLst>
            <a:ext uri="{FF2B5EF4-FFF2-40B4-BE49-F238E27FC236}">
              <a16:creationId xmlns:a16="http://schemas.microsoft.com/office/drawing/2014/main" id="{9B2C589E-557A-4A7E-86FF-0DB129B566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xdr:col>
      <xdr:colOff>440055</xdr:colOff>
      <xdr:row>2</xdr:row>
      <xdr:rowOff>93346</xdr:rowOff>
    </xdr:from>
    <xdr:to>
      <xdr:col>8</xdr:col>
      <xdr:colOff>321945</xdr:colOff>
      <xdr:row>4</xdr:row>
      <xdr:rowOff>98584</xdr:rowOff>
    </xdr:to>
    <mc:AlternateContent xmlns:mc="http://schemas.openxmlformats.org/markup-compatibility/2006" xmlns:a14="http://schemas.microsoft.com/office/drawing/2010/main">
      <mc:Choice Requires="a14">
        <xdr:graphicFrame macro="">
          <xdr:nvGraphicFramePr>
            <xdr:cNvPr id="9" name="Period 1">
              <a:extLst>
                <a:ext uri="{FF2B5EF4-FFF2-40B4-BE49-F238E27FC236}">
                  <a16:creationId xmlns:a16="http://schemas.microsoft.com/office/drawing/2014/main" id="{362B641A-1918-4AD9-9F4B-3F70E7351222}"/>
                </a:ext>
              </a:extLst>
            </xdr:cNvPr>
            <xdr:cNvGraphicFramePr/>
          </xdr:nvGraphicFramePr>
          <xdr:xfrm>
            <a:off x="0" y="0"/>
            <a:ext cx="0" cy="0"/>
          </xdr:xfrm>
          <a:graphic>
            <a:graphicData uri="http://schemas.microsoft.com/office/drawing/2010/slicer">
              <sle:slicer xmlns:sle="http://schemas.microsoft.com/office/drawing/2010/slicer" name="Period 1"/>
            </a:graphicData>
          </a:graphic>
        </xdr:graphicFrame>
      </mc:Choice>
      <mc:Fallback xmlns="">
        <xdr:sp macro="" textlink="">
          <xdr:nvSpPr>
            <xdr:cNvPr id="0" name=""/>
            <xdr:cNvSpPr>
              <a:spLocks noTextEdit="1"/>
            </xdr:cNvSpPr>
          </xdr:nvSpPr>
          <xdr:spPr>
            <a:xfrm>
              <a:off x="1663194" y="678342"/>
              <a:ext cx="4006247" cy="5788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57151</xdr:colOff>
      <xdr:row>2</xdr:row>
      <xdr:rowOff>93346</xdr:rowOff>
    </xdr:from>
    <xdr:to>
      <xdr:col>2</xdr:col>
      <xdr:colOff>358140</xdr:colOff>
      <xdr:row>4</xdr:row>
      <xdr:rowOff>98584</xdr:rowOff>
    </xdr:to>
    <mc:AlternateContent xmlns:mc="http://schemas.openxmlformats.org/markup-compatibility/2006" xmlns:a14="http://schemas.microsoft.com/office/drawing/2010/main">
      <mc:Choice Requires="a14">
        <xdr:graphicFrame macro="">
          <xdr:nvGraphicFramePr>
            <xdr:cNvPr id="10" name="Company 1">
              <a:extLst>
                <a:ext uri="{FF2B5EF4-FFF2-40B4-BE49-F238E27FC236}">
                  <a16:creationId xmlns:a16="http://schemas.microsoft.com/office/drawing/2014/main" id="{5A4ECE13-47A0-4BB7-B26A-0CAAD78F107E}"/>
                </a:ext>
              </a:extLst>
            </xdr:cNvPr>
            <xdr:cNvGraphicFramePr/>
          </xdr:nvGraphicFramePr>
          <xdr:xfrm>
            <a:off x="0" y="0"/>
            <a:ext cx="0" cy="0"/>
          </xdr:xfrm>
          <a:graphic>
            <a:graphicData uri="http://schemas.microsoft.com/office/drawing/2010/slicer">
              <sle:slicer xmlns:sle="http://schemas.microsoft.com/office/drawing/2010/slicer" name="Company 1"/>
            </a:graphicData>
          </a:graphic>
        </xdr:graphicFrame>
      </mc:Choice>
      <mc:Fallback xmlns="">
        <xdr:sp macro="" textlink="">
          <xdr:nvSpPr>
            <xdr:cNvPr id="0" name=""/>
            <xdr:cNvSpPr>
              <a:spLocks noTextEdit="1"/>
            </xdr:cNvSpPr>
          </xdr:nvSpPr>
          <xdr:spPr>
            <a:xfrm>
              <a:off x="53341" y="678342"/>
              <a:ext cx="1535558" cy="5788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190500</xdr:colOff>
      <xdr:row>11</xdr:row>
      <xdr:rowOff>157162</xdr:rowOff>
    </xdr:from>
    <xdr:to>
      <xdr:col>14</xdr:col>
      <xdr:colOff>495300</xdr:colOff>
      <xdr:row>27</xdr:row>
      <xdr:rowOff>4762</xdr:rowOff>
    </xdr:to>
    <xdr:graphicFrame macro="">
      <xdr:nvGraphicFramePr>
        <xdr:cNvPr id="2" name="Chart 1">
          <a:extLst>
            <a:ext uri="{FF2B5EF4-FFF2-40B4-BE49-F238E27FC236}">
              <a16:creationId xmlns:a16="http://schemas.microsoft.com/office/drawing/2014/main" id="{B73C71E7-DC63-A8F2-1353-4834FFFB62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361950</xdr:colOff>
      <xdr:row>11</xdr:row>
      <xdr:rowOff>157162</xdr:rowOff>
    </xdr:from>
    <xdr:to>
      <xdr:col>12</xdr:col>
      <xdr:colOff>523875</xdr:colOff>
      <xdr:row>27</xdr:row>
      <xdr:rowOff>4762</xdr:rowOff>
    </xdr:to>
    <xdr:graphicFrame macro="">
      <xdr:nvGraphicFramePr>
        <xdr:cNvPr id="2" name="Chart 1">
          <a:extLst>
            <a:ext uri="{FF2B5EF4-FFF2-40B4-BE49-F238E27FC236}">
              <a16:creationId xmlns:a16="http://schemas.microsoft.com/office/drawing/2014/main" id="{CE4BCBD4-4BB7-F188-2FDD-AFCFD831A7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400050</xdr:colOff>
      <xdr:row>11</xdr:row>
      <xdr:rowOff>157162</xdr:rowOff>
    </xdr:from>
    <xdr:to>
      <xdr:col>12</xdr:col>
      <xdr:colOff>561975</xdr:colOff>
      <xdr:row>27</xdr:row>
      <xdr:rowOff>4762</xdr:rowOff>
    </xdr:to>
    <xdr:graphicFrame macro="">
      <xdr:nvGraphicFramePr>
        <xdr:cNvPr id="2" name="Chart 1">
          <a:extLst>
            <a:ext uri="{FF2B5EF4-FFF2-40B4-BE49-F238E27FC236}">
              <a16:creationId xmlns:a16="http://schemas.microsoft.com/office/drawing/2014/main" id="{D71131B1-A66B-C339-0147-F5881AEF9A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476250</xdr:colOff>
      <xdr:row>11</xdr:row>
      <xdr:rowOff>157162</xdr:rowOff>
    </xdr:from>
    <xdr:to>
      <xdr:col>13</xdr:col>
      <xdr:colOff>28575</xdr:colOff>
      <xdr:row>27</xdr:row>
      <xdr:rowOff>4762</xdr:rowOff>
    </xdr:to>
    <xdr:graphicFrame macro="">
      <xdr:nvGraphicFramePr>
        <xdr:cNvPr id="2" name="Chart 1">
          <a:extLst>
            <a:ext uri="{FF2B5EF4-FFF2-40B4-BE49-F238E27FC236}">
              <a16:creationId xmlns:a16="http://schemas.microsoft.com/office/drawing/2014/main" id="{2EDEF0FC-61FF-33A0-5DC2-682A7A9667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161925</xdr:colOff>
      <xdr:row>11</xdr:row>
      <xdr:rowOff>157162</xdr:rowOff>
    </xdr:from>
    <xdr:to>
      <xdr:col>11</xdr:col>
      <xdr:colOff>514350</xdr:colOff>
      <xdr:row>27</xdr:row>
      <xdr:rowOff>4762</xdr:rowOff>
    </xdr:to>
    <xdr:graphicFrame macro="">
      <xdr:nvGraphicFramePr>
        <xdr:cNvPr id="2" name="Chart 1">
          <a:extLst>
            <a:ext uri="{FF2B5EF4-FFF2-40B4-BE49-F238E27FC236}">
              <a16:creationId xmlns:a16="http://schemas.microsoft.com/office/drawing/2014/main" id="{873D3AC0-6639-EA31-1CD0-D326B429E2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657225</xdr:colOff>
      <xdr:row>11</xdr:row>
      <xdr:rowOff>157162</xdr:rowOff>
    </xdr:from>
    <xdr:to>
      <xdr:col>13</xdr:col>
      <xdr:colOff>209550</xdr:colOff>
      <xdr:row>27</xdr:row>
      <xdr:rowOff>4762</xdr:rowOff>
    </xdr:to>
    <xdr:graphicFrame macro="">
      <xdr:nvGraphicFramePr>
        <xdr:cNvPr id="3" name="Chart 2">
          <a:extLst>
            <a:ext uri="{FF2B5EF4-FFF2-40B4-BE49-F238E27FC236}">
              <a16:creationId xmlns:a16="http://schemas.microsoft.com/office/drawing/2014/main" id="{4689F1C3-AEDA-FDC7-6AF4-305830BA9B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323850</xdr:colOff>
      <xdr:row>11</xdr:row>
      <xdr:rowOff>0</xdr:rowOff>
    </xdr:from>
    <xdr:to>
      <xdr:col>13</xdr:col>
      <xdr:colOff>320040</xdr:colOff>
      <xdr:row>25</xdr:row>
      <xdr:rowOff>57150</xdr:rowOff>
    </xdr:to>
    <mc:AlternateContent xmlns:mc="http://schemas.openxmlformats.org/markup-compatibility/2006" xmlns:a14="http://schemas.microsoft.com/office/drawing/2010/main">
      <mc:Choice Requires="a14">
        <xdr:graphicFrame macro="">
          <xdr:nvGraphicFramePr>
            <xdr:cNvPr id="4" name="Company">
              <a:extLst>
                <a:ext uri="{FF2B5EF4-FFF2-40B4-BE49-F238E27FC236}">
                  <a16:creationId xmlns:a16="http://schemas.microsoft.com/office/drawing/2014/main" id="{AF95A0AE-58BF-B2B7-0561-AD7C01941EC9}"/>
                </a:ext>
              </a:extLst>
            </xdr:cNvPr>
            <xdr:cNvGraphicFramePr/>
          </xdr:nvGraphicFramePr>
          <xdr:xfrm>
            <a:off x="0" y="0"/>
            <a:ext cx="0" cy="0"/>
          </xdr:xfrm>
          <a:graphic>
            <a:graphicData uri="http://schemas.microsoft.com/office/drawing/2010/slicer">
              <sle:slicer xmlns:sle="http://schemas.microsoft.com/office/drawing/2010/slicer" name="Company"/>
            </a:graphicData>
          </a:graphic>
        </xdr:graphicFrame>
      </mc:Choice>
      <mc:Fallback xmlns="">
        <xdr:sp macro="" textlink="">
          <xdr:nvSpPr>
            <xdr:cNvPr id="0" name=""/>
            <xdr:cNvSpPr>
              <a:spLocks noTextEdit="1"/>
            </xdr:cNvSpPr>
          </xdr:nvSpPr>
          <xdr:spPr>
            <a:xfrm>
              <a:off x="7816215" y="1990725"/>
              <a:ext cx="1832610" cy="25869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573405</xdr:colOff>
      <xdr:row>11</xdr:row>
      <xdr:rowOff>129540</xdr:rowOff>
    </xdr:from>
    <xdr:to>
      <xdr:col>16</xdr:col>
      <xdr:colOff>586740</xdr:colOff>
      <xdr:row>25</xdr:row>
      <xdr:rowOff>169545</xdr:rowOff>
    </xdr:to>
    <mc:AlternateContent xmlns:mc="http://schemas.openxmlformats.org/markup-compatibility/2006" xmlns:a14="http://schemas.microsoft.com/office/drawing/2010/main">
      <mc:Choice Requires="a14">
        <xdr:graphicFrame macro="">
          <xdr:nvGraphicFramePr>
            <xdr:cNvPr id="5" name="Period">
              <a:extLst>
                <a:ext uri="{FF2B5EF4-FFF2-40B4-BE49-F238E27FC236}">
                  <a16:creationId xmlns:a16="http://schemas.microsoft.com/office/drawing/2014/main" id="{54A3DEB3-120F-1C66-A68E-9A60AE9AF30C}"/>
                </a:ext>
              </a:extLst>
            </xdr:cNvPr>
            <xdr:cNvGraphicFramePr/>
          </xdr:nvGraphicFramePr>
          <xdr:xfrm>
            <a:off x="0" y="0"/>
            <a:ext cx="0" cy="0"/>
          </xdr:xfrm>
          <a:graphic>
            <a:graphicData uri="http://schemas.microsoft.com/office/drawing/2010/slicer">
              <sle:slicer xmlns:sle="http://schemas.microsoft.com/office/drawing/2010/slicer" name="Period"/>
            </a:graphicData>
          </a:graphic>
        </xdr:graphicFrame>
      </mc:Choice>
      <mc:Fallback xmlns="">
        <xdr:sp macro="" textlink="">
          <xdr:nvSpPr>
            <xdr:cNvPr id="0" name=""/>
            <xdr:cNvSpPr>
              <a:spLocks noTextEdit="1"/>
            </xdr:cNvSpPr>
          </xdr:nvSpPr>
          <xdr:spPr>
            <a:xfrm>
              <a:off x="9898380" y="2124075"/>
              <a:ext cx="1845945" cy="25736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5</xdr:col>
      <xdr:colOff>323850</xdr:colOff>
      <xdr:row>11</xdr:row>
      <xdr:rowOff>157162</xdr:rowOff>
    </xdr:from>
    <xdr:to>
      <xdr:col>13</xdr:col>
      <xdr:colOff>19050</xdr:colOff>
      <xdr:row>27</xdr:row>
      <xdr:rowOff>4762</xdr:rowOff>
    </xdr:to>
    <xdr:graphicFrame macro="">
      <xdr:nvGraphicFramePr>
        <xdr:cNvPr id="2" name="Chart 1">
          <a:extLst>
            <a:ext uri="{FF2B5EF4-FFF2-40B4-BE49-F238E27FC236}">
              <a16:creationId xmlns:a16="http://schemas.microsoft.com/office/drawing/2014/main" id="{75001381-6E92-F68F-4061-274B098A15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Lasya Hari" refreshedDate="46321.691647800923" missingItemsLimit="0" createdVersion="8" refreshedVersion="8" minRefreshableVersion="3" recordCount="8" xr:uid="{DE0479FD-FE9A-427D-85E3-8FF730861011}">
  <cacheSource type="worksheet">
    <worksheetSource name="Table4"/>
  </cacheSource>
  <cacheFields count="11">
    <cacheField name="Company" numFmtId="0">
      <sharedItems count="2">
        <s v="Nike"/>
        <s v="Adidas"/>
      </sharedItems>
    </cacheField>
    <cacheField name="Period" numFmtId="0">
      <sharedItems count="4">
        <s v="Q1 2025"/>
        <s v="Q2 2025"/>
        <s v="Q3 2025"/>
        <s v="Q4 2025"/>
      </sharedItems>
    </cacheField>
    <cacheField name="Currency" numFmtId="0">
      <sharedItems/>
    </cacheField>
    <cacheField name="Revenue" numFmtId="1">
      <sharedItems containsSemiMixedTypes="0" containsString="0" containsNumber="1" containsInteger="1" minValue="5952" maxValue="12354"/>
    </cacheField>
    <cacheField name="Gross Profit Margin" numFmtId="10">
      <sharedItems containsSemiMixedTypes="0" containsString="0" containsNumber="1" minValue="0.40272145624943678" maxValue="0.52088412156671537"/>
    </cacheField>
    <cacheField name="Operating Margin" numFmtId="10">
      <sharedItems containsSemiMixedTypes="0" containsString="0" containsNumber="1" minValue="2.6673875822294312E-2" maxValue="0.11267605633802817"/>
    </cacheField>
    <cacheField name="Net Profit Margin" numFmtId="10">
      <sharedItems containsSemiMixedTypes="0" containsString="0" containsNumber="1" minValue="1.4976958525345621E-2" maxValue="9.4139549943338188E-2"/>
    </cacheField>
    <cacheField name="Current Ratio" numFmtId="2">
      <sharedItems containsSemiMixedTypes="0" containsString="0" containsNumber="1" minValue="1.2536547260350408" maxValue="2.3560406473466315"/>
    </cacheField>
    <cacheField name="Debt-to-Assets" numFmtId="10">
      <sharedItems containsSemiMixedTypes="0" containsString="0" containsNumber="1" minValue="0.62937581033524725" maxValue="0.71516488025026925"/>
    </cacheField>
    <cacheField name="Operating Cash Flow Margin" numFmtId="10">
      <sharedItems containsSemiMixedTypes="0" containsString="0" containsNumber="1" minValue="-0.15179587193239069" maxValue="0.16886109282422646"/>
    </cacheField>
    <cacheField name="Cash-to-Revenue Ratio" numFmtId="10">
      <sharedItems containsSemiMixedTypes="0" containsString="0" containsNumber="1" minValue="0.12903225806451613" maxValue="0.76324429851805842"/>
    </cacheField>
  </cacheFields>
  <extLst>
    <ext xmlns:x14="http://schemas.microsoft.com/office/spreadsheetml/2009/9/main" uri="{725AE2AE-9491-48be-B2B4-4EB974FC3084}">
      <x14:pivotCacheDefinition pivotCacheId="57682052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Lasya Hari" refreshedDate="46321.691649074077" missingItemsLimit="0" createdVersion="8" refreshedVersion="8" minRefreshableVersion="3" recordCount="8" xr:uid="{6F851111-1A84-4653-98D9-C55AF1DABA3B}">
  <cacheSource type="worksheet">
    <worksheetSource name="Table72"/>
  </cacheSource>
  <cacheFields count="15">
    <cacheField name="Company" numFmtId="0">
      <sharedItems count="2">
        <s v="Nike"/>
        <s v="Adidas"/>
      </sharedItems>
    </cacheField>
    <cacheField name="Period" numFmtId="0">
      <sharedItems count="4">
        <s v="Q1 2025"/>
        <s v="Q2 2025"/>
        <s v="Q3 2025"/>
        <s v="Q4 2025"/>
      </sharedItems>
    </cacheField>
    <cacheField name="Currency" numFmtId="0">
      <sharedItems/>
    </cacheField>
    <cacheField name="Revenue" numFmtId="3">
      <sharedItems containsSemiMixedTypes="0" containsString="0" containsNumber="1" containsInteger="1" minValue="5952" maxValue="12354"/>
    </cacheField>
    <cacheField name="Gross Profit" numFmtId="3">
      <sharedItems containsSemiMixedTypes="0" containsString="0" containsNumber="1" containsInteger="1" minValue="3077" maxValue="5389"/>
    </cacheField>
    <cacheField name="Operating Income/EBIT" numFmtId="3">
      <sharedItems containsSemiMixedTypes="0" containsString="0" containsNumber="1" containsInteger="1" minValue="164" maxValue="1392"/>
    </cacheField>
    <cacheField name="Net Income" numFmtId="3">
      <sharedItems containsSemiMixedTypes="0" containsString="0" containsNumber="1" containsInteger="1" minValue="91" maxValue="1163"/>
    </cacheField>
    <cacheField name="Current Assets" numFmtId="3">
      <sharedItems containsSemiMixedTypes="0" containsString="0" containsNumber="1" containsInteger="1" minValue="11234" maxValue="25040"/>
    </cacheField>
    <cacheField name="Current Liabilities" numFmtId="3">
      <sharedItems containsSemiMixedTypes="0" containsString="0" containsNumber="1" containsInteger="1" minValue="8942" maxValue="11246"/>
    </cacheField>
    <cacheField name="Total Assets" numFmtId="3">
      <sharedItems containsSemiMixedTypes="0" containsString="0" containsNumber="1" containsInteger="1" minValue="19499" maxValue="37959"/>
    </cacheField>
    <cacheField name="Total Liabilities" numFmtId="3">
      <sharedItems containsSemiMixedTypes="0" containsString="0" containsNumber="1" containsInteger="1" minValue="13945" maxValue="23923"/>
    </cacheField>
    <cacheField name="Operating Cash Flow" numFmtId="3">
      <sharedItems containsSemiMixedTypes="0" containsString="0" containsNumber="1" containsInteger="1" minValue="-934" maxValue="1792"/>
    </cacheField>
    <cacheField name="Ending Cash" numFmtId="3">
      <sharedItems containsSemiMixedTypes="0" containsString="0" containsNumber="1" containsInteger="1" minValue="768" maxValue="8601"/>
    </cacheField>
    <cacheField name="FX Rate to USD" numFmtId="166">
      <sharedItems containsSemiMixedTypes="0" containsString="0" containsNumber="1" minValue="1" maxValue="1.169219"/>
    </cacheField>
    <cacheField name="Revenue (USD M)" numFmtId="3">
      <sharedItems containsSemiMixedTypes="0" containsString="0" containsNumber="1" minValue="6470.5378709999995" maxValue="1235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x v="0"/>
    <s v="USD millions"/>
    <n v="11589"/>
    <n v="0.45361981189058592"/>
    <n v="0.10906894468892915"/>
    <n v="9.0689446889291564E-2"/>
    <n v="2.3560406473466315"/>
    <n v="0.63176380489608364"/>
    <n v="3.3997756493226339E-2"/>
    <n v="0.73215980671326253"/>
  </r>
  <r>
    <x v="0"/>
    <x v="1"/>
    <s v="USD millions"/>
    <n v="12354"/>
    <n v="0.43621499109600131"/>
    <n v="0.11267605633802817"/>
    <n v="9.4139549943338188E-2"/>
    <n v="2.2212342166103505"/>
    <n v="0.63020627519165417"/>
    <n v="8.4911769467378981E-2"/>
    <n v="0.64586368787437265"/>
  </r>
  <r>
    <x v="0"/>
    <x v="2"/>
    <s v="USD millions"/>
    <n v="11269"/>
    <n v="0.41485491170467653"/>
    <n v="7.3298429319371722E-2"/>
    <n v="7.045878072588517E-2"/>
    <n v="2.1927292167869554"/>
    <n v="0.62937581033524725"/>
    <n v="0.15902032123524715"/>
    <n v="0.76324429851805842"/>
  </r>
  <r>
    <x v="0"/>
    <x v="3"/>
    <s v="USD millions"/>
    <n v="11097"/>
    <n v="0.40272145624943678"/>
    <n v="2.6673875822294312E-2"/>
    <n v="1.9014147967919257E-2"/>
    <n v="2.2110543251940187"/>
    <n v="0.6387818147024249"/>
    <n v="4.1722988195007658E-2"/>
    <n v="0.67261422005947558"/>
  </r>
  <r>
    <x v="1"/>
    <x v="0"/>
    <s v="EUR millions"/>
    <n v="6153"/>
    <n v="0.52088412156671537"/>
    <n v="9.9138631561839746E-2"/>
    <n v="6.9722086786933202E-2"/>
    <n v="1.2884142250055917"/>
    <n v="0.69702852023294015"/>
    <n v="-0.15179587193239069"/>
    <n v="0.23273200065008939"/>
  </r>
  <r>
    <x v="1"/>
    <x v="1"/>
    <s v="EUR millions"/>
    <n v="5952"/>
    <n v="0.51696908602150538"/>
    <n v="9.1733870967741937E-2"/>
    <n v="6.4012096774193547E-2"/>
    <n v="1.2536547260350408"/>
    <n v="0.71516488025026925"/>
    <n v="3.0241935483870967E-3"/>
    <n v="0.12903225806451613"/>
  </r>
  <r>
    <x v="1"/>
    <x v="2"/>
    <s v="EUR millions"/>
    <n v="6630"/>
    <n v="0.51809954751131226"/>
    <n v="0.11101055806938159"/>
    <n v="7.3152337858220215E-2"/>
    <n v="1.3103032957407206"/>
    <n v="0.69826773216856108"/>
    <n v="9.6681749622926097E-2"/>
    <n v="0.15535444947209653"/>
  </r>
  <r>
    <x v="1"/>
    <x v="3"/>
    <s v="EUR millions"/>
    <n v="6076"/>
    <n v="0.50822909809084926"/>
    <n v="2.6991441737985518E-2"/>
    <n v="1.4976958525345621E-2"/>
    <n v="1.3170222124477677"/>
    <n v="0.69770999901293063"/>
    <n v="0.16886109282422646"/>
    <n v="0.266129032258064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x v="0"/>
    <s v="USD millions"/>
    <n v="11589"/>
    <n v="5257"/>
    <n v="1264"/>
    <n v="1051"/>
    <n v="25040"/>
    <n v="10628"/>
    <n v="37867"/>
    <n v="23923"/>
    <n v="394"/>
    <n v="8485"/>
    <n v="1"/>
    <n v="11589"/>
  </r>
  <r>
    <x v="0"/>
    <x v="1"/>
    <s v="USD millions"/>
    <n v="12354"/>
    <n v="5389"/>
    <n v="1392"/>
    <n v="1163"/>
    <n v="24980"/>
    <n v="11246"/>
    <n v="37959"/>
    <n v="23922"/>
    <n v="1049"/>
    <n v="7979"/>
    <n v="1"/>
    <n v="12354"/>
  </r>
  <r>
    <x v="0"/>
    <x v="2"/>
    <s v="USD millions"/>
    <n v="11269"/>
    <n v="4675"/>
    <n v="826"/>
    <n v="794"/>
    <n v="24609"/>
    <n v="11223"/>
    <n v="37793"/>
    <n v="23786"/>
    <n v="1792"/>
    <n v="8601"/>
    <n v="1"/>
    <n v="11269"/>
  </r>
  <r>
    <x v="0"/>
    <x v="3"/>
    <s v="USD millions"/>
    <n v="11097"/>
    <n v="4469"/>
    <n v="296"/>
    <n v="211"/>
    <n v="23362"/>
    <n v="10566"/>
    <n v="36579"/>
    <n v="23366"/>
    <n v="463"/>
    <n v="7464"/>
    <n v="1"/>
    <n v="11097"/>
  </r>
  <r>
    <x v="1"/>
    <x v="0"/>
    <s v="EUR millions"/>
    <n v="6153"/>
    <n v="3205"/>
    <n v="610"/>
    <n v="429"/>
    <n v="11521"/>
    <n v="8942"/>
    <n v="20091"/>
    <n v="14004"/>
    <n v="-934"/>
    <n v="1432"/>
    <n v="1.051607"/>
    <n v="6470.5378709999995"/>
  </r>
  <r>
    <x v="1"/>
    <x v="1"/>
    <s v="EUR millions"/>
    <n v="5952"/>
    <n v="3077"/>
    <n v="546"/>
    <n v="381"/>
    <n v="11234"/>
    <n v="8961"/>
    <n v="19499"/>
    <n v="13945"/>
    <n v="18"/>
    <n v="768"/>
    <n v="1.1338023333333334"/>
    <n v="6748.3914880000002"/>
  </r>
  <r>
    <x v="1"/>
    <x v="2"/>
    <s v="EUR millions"/>
    <n v="6630"/>
    <n v="3435"/>
    <n v="736"/>
    <n v="485"/>
    <n v="11967"/>
    <n v="9133"/>
    <n v="20147"/>
    <n v="14068"/>
    <n v="641"/>
    <n v="1030"/>
    <n v="1.169219"/>
    <n v="7751.9219700000003"/>
  </r>
  <r>
    <x v="1"/>
    <x v="3"/>
    <s v="EUR millions"/>
    <n v="6076"/>
    <n v="3088"/>
    <n v="164"/>
    <n v="91"/>
    <n v="11977"/>
    <n v="9094"/>
    <n v="20262"/>
    <n v="14137"/>
    <n v="1026"/>
    <n v="1617"/>
    <n v="1.1641510000000002"/>
    <n v="7073.38147600000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B460CF-9B62-42A1-AF4C-8B8C09CF1E36}" name="PivotTable11"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3:C8" firstHeaderRow="1" firstDataRow="2" firstDataCol="1"/>
  <pivotFields count="15">
    <pivotField axis="axisCol" showAll="0">
      <items count="3">
        <item x="1"/>
        <item x="0"/>
        <item t="default"/>
      </items>
    </pivotField>
    <pivotField axis="axisRow" showAll="0">
      <items count="5">
        <item x="0"/>
        <item x="1"/>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
  </rowFields>
  <rowItems count="4">
    <i>
      <x/>
    </i>
    <i>
      <x v="1"/>
    </i>
    <i>
      <x v="2"/>
    </i>
    <i>
      <x v="3"/>
    </i>
  </rowItems>
  <colFields count="1">
    <field x="0"/>
  </colFields>
  <colItems count="2">
    <i>
      <x/>
    </i>
    <i>
      <x v="1"/>
    </i>
  </colItems>
  <dataFields count="1">
    <dataField name="Sum of Revenue (USD M)" fld="14" baseField="1" baseItem="0" numFmtId="3"/>
  </dataFields>
  <chartFormats count="4">
    <chartFormat chart="1" format="0" series="1">
      <pivotArea type="data" outline="0" fieldPosition="0">
        <references count="2">
          <reference field="4294967294" count="1" selected="0">
            <x v="0"/>
          </reference>
          <reference field="0" count="1" selected="0">
            <x v="0"/>
          </reference>
        </references>
      </pivotArea>
    </chartFormat>
    <chartFormat chart="1" format="1" series="1">
      <pivotArea type="data" outline="0" fieldPosition="0">
        <references count="2">
          <reference field="4294967294" count="1" selected="0">
            <x v="0"/>
          </reference>
          <reference field="0" count="1" selected="0">
            <x v="1"/>
          </reference>
        </references>
      </pivotArea>
    </chartFormat>
    <chartFormat chart="3" format="6" series="1">
      <pivotArea type="data" outline="0" fieldPosition="0">
        <references count="2">
          <reference field="4294967294" count="1" selected="0">
            <x v="0"/>
          </reference>
          <reference field="0" count="1" selected="0">
            <x v="0"/>
          </reference>
        </references>
      </pivotArea>
    </chartFormat>
    <chartFormat chart="3" format="7"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2B1034-3C89-4271-81C9-F61F6B104CDC}" name="PivotTable12" cacheId="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C8" firstHeaderRow="1" firstDataRow="2" firstDataCol="1"/>
  <pivotFields count="11">
    <pivotField axis="axisCol" showAll="0">
      <items count="3">
        <item x="1"/>
        <item x="0"/>
        <item t="default"/>
      </items>
    </pivotField>
    <pivotField axis="axisRow" showAll="0">
      <items count="5">
        <item x="0"/>
        <item x="1"/>
        <item x="2"/>
        <item x="3"/>
        <item t="default"/>
      </items>
    </pivotField>
    <pivotField showAll="0"/>
    <pivotField numFmtId="1" showAll="0"/>
    <pivotField dataField="1" numFmtId="10" showAll="0"/>
    <pivotField numFmtId="10" showAll="0"/>
    <pivotField numFmtId="10" showAll="0"/>
    <pivotField numFmtId="2" showAll="0"/>
    <pivotField numFmtId="10" showAll="0"/>
    <pivotField numFmtId="10" showAll="0"/>
    <pivotField numFmtId="10" showAll="0"/>
  </pivotFields>
  <rowFields count="1">
    <field x="1"/>
  </rowFields>
  <rowItems count="4">
    <i>
      <x/>
    </i>
    <i>
      <x v="1"/>
    </i>
    <i>
      <x v="2"/>
    </i>
    <i>
      <x v="3"/>
    </i>
  </rowItems>
  <colFields count="1">
    <field x="0"/>
  </colFields>
  <colItems count="2">
    <i>
      <x/>
    </i>
    <i>
      <x v="1"/>
    </i>
  </colItems>
  <dataFields count="1">
    <dataField name="Average of Gross Profit Margin" fld="4" subtotal="average" baseField="1" baseItem="0" numFmtId="10"/>
  </dataFields>
  <chartFormats count="4">
    <chartFormat chart="1" format="0" series="1">
      <pivotArea type="data" outline="0" fieldPosition="0">
        <references count="2">
          <reference field="4294967294" count="1" selected="0">
            <x v="0"/>
          </reference>
          <reference field="0" count="1" selected="0">
            <x v="0"/>
          </reference>
        </references>
      </pivotArea>
    </chartFormat>
    <chartFormat chart="1" format="1" series="1">
      <pivotArea type="data" outline="0" fieldPosition="0">
        <references count="2">
          <reference field="4294967294" count="1" selected="0">
            <x v="0"/>
          </reference>
          <reference field="0" count="1" selected="0">
            <x v="1"/>
          </reference>
        </references>
      </pivotArea>
    </chartFormat>
    <chartFormat chart="5" format="6" series="1">
      <pivotArea type="data" outline="0" fieldPosition="0">
        <references count="2">
          <reference field="4294967294" count="1" selected="0">
            <x v="0"/>
          </reference>
          <reference field="0" count="1" selected="0">
            <x v="0"/>
          </reference>
        </references>
      </pivotArea>
    </chartFormat>
    <chartFormat chart="5" format="7"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8C64E1F-CAD3-411D-9D9A-3D93CA63D99A}" name="PivotTable13" cacheId="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C8" firstHeaderRow="1" firstDataRow="2" firstDataCol="1"/>
  <pivotFields count="11">
    <pivotField axis="axisCol" showAll="0">
      <items count="3">
        <item x="1"/>
        <item x="0"/>
        <item t="default"/>
      </items>
    </pivotField>
    <pivotField axis="axisRow" showAll="0">
      <items count="5">
        <item x="0"/>
        <item x="1"/>
        <item x="2"/>
        <item x="3"/>
        <item t="default"/>
      </items>
    </pivotField>
    <pivotField showAll="0"/>
    <pivotField numFmtId="1" showAll="0"/>
    <pivotField numFmtId="10" showAll="0"/>
    <pivotField dataField="1" numFmtId="10" showAll="0"/>
    <pivotField numFmtId="10" showAll="0"/>
    <pivotField numFmtId="2" showAll="0"/>
    <pivotField numFmtId="10" showAll="0"/>
    <pivotField numFmtId="10" showAll="0"/>
    <pivotField numFmtId="10" showAll="0"/>
  </pivotFields>
  <rowFields count="1">
    <field x="1"/>
  </rowFields>
  <rowItems count="4">
    <i>
      <x/>
    </i>
    <i>
      <x v="1"/>
    </i>
    <i>
      <x v="2"/>
    </i>
    <i>
      <x v="3"/>
    </i>
  </rowItems>
  <colFields count="1">
    <field x="0"/>
  </colFields>
  <colItems count="2">
    <i>
      <x/>
    </i>
    <i>
      <x v="1"/>
    </i>
  </colItems>
  <dataFields count="1">
    <dataField name="Average of Operating Margin" fld="5" subtotal="average" baseField="1" baseItem="0" numFmtId="10"/>
  </dataFields>
  <chartFormats count="4">
    <chartFormat chart="1" format="0" series="1">
      <pivotArea type="data" outline="0" fieldPosition="0">
        <references count="2">
          <reference field="4294967294" count="1" selected="0">
            <x v="0"/>
          </reference>
          <reference field="0" count="1" selected="0">
            <x v="0"/>
          </reference>
        </references>
      </pivotArea>
    </chartFormat>
    <chartFormat chart="1" format="1" series="1">
      <pivotArea type="data" outline="0" fieldPosition="0">
        <references count="2">
          <reference field="4294967294" count="1" selected="0">
            <x v="0"/>
          </reference>
          <reference field="0" count="1" selected="0">
            <x v="1"/>
          </reference>
        </references>
      </pivotArea>
    </chartFormat>
    <chartFormat chart="5" format="6" series="1">
      <pivotArea type="data" outline="0" fieldPosition="0">
        <references count="2">
          <reference field="4294967294" count="1" selected="0">
            <x v="0"/>
          </reference>
          <reference field="0" count="1" selected="0">
            <x v="0"/>
          </reference>
        </references>
      </pivotArea>
    </chartFormat>
    <chartFormat chart="5" format="7"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5F17A93-CCCE-4780-A591-66BBDD9BDA42}" name="PivotTable14" cacheId="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C8" firstHeaderRow="1" firstDataRow="2" firstDataCol="1"/>
  <pivotFields count="11">
    <pivotField axis="axisCol" showAll="0">
      <items count="3">
        <item x="1"/>
        <item x="0"/>
        <item t="default"/>
      </items>
    </pivotField>
    <pivotField axis="axisRow" showAll="0">
      <items count="5">
        <item x="0"/>
        <item x="1"/>
        <item x="2"/>
        <item x="3"/>
        <item t="default"/>
      </items>
    </pivotField>
    <pivotField showAll="0"/>
    <pivotField numFmtId="1" showAll="0"/>
    <pivotField numFmtId="10" showAll="0"/>
    <pivotField numFmtId="10" showAll="0"/>
    <pivotField dataField="1" numFmtId="10" showAll="0"/>
    <pivotField numFmtId="2" showAll="0"/>
    <pivotField numFmtId="10" showAll="0"/>
    <pivotField numFmtId="10" showAll="0"/>
    <pivotField numFmtId="10" showAll="0"/>
  </pivotFields>
  <rowFields count="1">
    <field x="1"/>
  </rowFields>
  <rowItems count="4">
    <i>
      <x/>
    </i>
    <i>
      <x v="1"/>
    </i>
    <i>
      <x v="2"/>
    </i>
    <i>
      <x v="3"/>
    </i>
  </rowItems>
  <colFields count="1">
    <field x="0"/>
  </colFields>
  <colItems count="2">
    <i>
      <x/>
    </i>
    <i>
      <x v="1"/>
    </i>
  </colItems>
  <dataFields count="1">
    <dataField name="Average of Net Profit Margin" fld="6" subtotal="average" baseField="1" baseItem="0" numFmtId="10"/>
  </dataFields>
  <chartFormats count="2">
    <chartFormat chart="1" format="0" series="1">
      <pivotArea type="data" outline="0" fieldPosition="0">
        <references count="2">
          <reference field="4294967294" count="1" selected="0">
            <x v="0"/>
          </reference>
          <reference field="0" count="1" selected="0">
            <x v="0"/>
          </reference>
        </references>
      </pivotArea>
    </chartFormat>
    <chartFormat chart="1" format="1"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3BE5BC8-3C04-42BD-9CBC-CF2F6969D519}" name="PivotTable15" cacheId="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C8" firstHeaderRow="1" firstDataRow="2" firstDataCol="1"/>
  <pivotFields count="11">
    <pivotField axis="axisCol" showAll="0">
      <items count="3">
        <item x="1"/>
        <item x="0"/>
        <item t="default"/>
      </items>
    </pivotField>
    <pivotField axis="axisRow" showAll="0">
      <items count="5">
        <item x="0"/>
        <item x="1"/>
        <item x="2"/>
        <item x="3"/>
        <item t="default"/>
      </items>
    </pivotField>
    <pivotField showAll="0"/>
    <pivotField numFmtId="1" showAll="0"/>
    <pivotField numFmtId="10" showAll="0"/>
    <pivotField numFmtId="10" showAll="0"/>
    <pivotField numFmtId="10" showAll="0"/>
    <pivotField numFmtId="2" showAll="0"/>
    <pivotField numFmtId="10" showAll="0"/>
    <pivotField dataField="1" numFmtId="10" showAll="0"/>
    <pivotField numFmtId="10" showAll="0"/>
  </pivotFields>
  <rowFields count="1">
    <field x="1"/>
  </rowFields>
  <rowItems count="4">
    <i>
      <x/>
    </i>
    <i>
      <x v="1"/>
    </i>
    <i>
      <x v="2"/>
    </i>
    <i>
      <x v="3"/>
    </i>
  </rowItems>
  <colFields count="1">
    <field x="0"/>
  </colFields>
  <colItems count="2">
    <i>
      <x/>
    </i>
    <i>
      <x v="1"/>
    </i>
  </colItems>
  <dataFields count="1">
    <dataField name="Average of Operating Cash Flow Margin" fld="9" subtotal="average" baseField="1" baseItem="0" numFmtId="10"/>
  </dataFields>
  <chartFormats count="4">
    <chartFormat chart="1" format="0" series="1">
      <pivotArea type="data" outline="0" fieldPosition="0">
        <references count="2">
          <reference field="4294967294" count="1" selected="0">
            <x v="0"/>
          </reference>
          <reference field="0" count="1" selected="0">
            <x v="0"/>
          </reference>
        </references>
      </pivotArea>
    </chartFormat>
    <chartFormat chart="1" format="1" series="1">
      <pivotArea type="data" outline="0" fieldPosition="0">
        <references count="2">
          <reference field="4294967294" count="1" selected="0">
            <x v="0"/>
          </reference>
          <reference field="0" count="1" selected="0">
            <x v="1"/>
          </reference>
        </references>
      </pivotArea>
    </chartFormat>
    <chartFormat chart="3" format="4" series="1">
      <pivotArea type="data" outline="0" fieldPosition="0">
        <references count="2">
          <reference field="4294967294" count="1" selected="0">
            <x v="0"/>
          </reference>
          <reference field="0" count="1" selected="0">
            <x v="0"/>
          </reference>
        </references>
      </pivotArea>
    </chartFormat>
    <chartFormat chart="3"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22F8FCD-9036-40DF-8FEB-1DD3C78A3AA3}" name="PivotTable17" cacheId="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3:C8" firstHeaderRow="1" firstDataRow="2" firstDataCol="1"/>
  <pivotFields count="11">
    <pivotField axis="axisCol" showAll="0">
      <items count="3">
        <item x="1"/>
        <item x="0"/>
        <item t="default"/>
      </items>
    </pivotField>
    <pivotField axis="axisRow" showAll="0">
      <items count="5">
        <item x="0"/>
        <item x="1"/>
        <item x="2"/>
        <item x="3"/>
        <item t="default"/>
      </items>
    </pivotField>
    <pivotField showAll="0"/>
    <pivotField numFmtId="1" showAll="0"/>
    <pivotField numFmtId="10" showAll="0"/>
    <pivotField numFmtId="10" showAll="0"/>
    <pivotField numFmtId="10" showAll="0"/>
    <pivotField dataField="1" numFmtId="2" showAll="0"/>
    <pivotField numFmtId="10" showAll="0"/>
    <pivotField numFmtId="10" showAll="0"/>
    <pivotField numFmtId="10" showAll="0"/>
  </pivotFields>
  <rowFields count="1">
    <field x="1"/>
  </rowFields>
  <rowItems count="4">
    <i>
      <x/>
    </i>
    <i>
      <x v="1"/>
    </i>
    <i>
      <x v="2"/>
    </i>
    <i>
      <x v="3"/>
    </i>
  </rowItems>
  <colFields count="1">
    <field x="0"/>
  </colFields>
  <colItems count="2">
    <i>
      <x/>
    </i>
    <i>
      <x v="1"/>
    </i>
  </colItems>
  <dataFields count="1">
    <dataField name="Average of Current Ratio" fld="7" subtotal="average" baseField="0" baseItem="0" numFmtId="2"/>
  </dataFields>
  <chartFormats count="4">
    <chartFormat chart="4" format="0" series="1">
      <pivotArea type="data" outline="0" fieldPosition="0">
        <references count="2">
          <reference field="4294967294" count="1" selected="0">
            <x v="0"/>
          </reference>
          <reference field="0" count="1" selected="0">
            <x v="0"/>
          </reference>
        </references>
      </pivotArea>
    </chartFormat>
    <chartFormat chart="4" format="1" series="1">
      <pivotArea type="data" outline="0" fieldPosition="0">
        <references count="2">
          <reference field="4294967294" count="1" selected="0">
            <x v="0"/>
          </reference>
          <reference field="0" count="1" selected="0">
            <x v="1"/>
          </reference>
        </references>
      </pivotArea>
    </chartFormat>
    <chartFormat chart="7" format="4" series="1">
      <pivotArea type="data" outline="0" fieldPosition="0">
        <references count="2">
          <reference field="4294967294" count="1" selected="0">
            <x v="0"/>
          </reference>
          <reference field="0" count="1" selected="0">
            <x v="0"/>
          </reference>
        </references>
      </pivotArea>
    </chartFormat>
    <chartFormat chart="7"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C811462-01A9-41E7-BCC9-5B6EB1DFDD25}" name="PivotTable18" cacheId="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C8" firstHeaderRow="1" firstDataRow="2" firstDataCol="1"/>
  <pivotFields count="11">
    <pivotField axis="axisCol" showAll="0">
      <items count="3">
        <item x="1"/>
        <item x="0"/>
        <item t="default"/>
      </items>
    </pivotField>
    <pivotField axis="axisRow" showAll="0">
      <items count="5">
        <item x="0"/>
        <item x="1"/>
        <item x="2"/>
        <item x="3"/>
        <item t="default"/>
      </items>
    </pivotField>
    <pivotField showAll="0"/>
    <pivotField numFmtId="1" showAll="0"/>
    <pivotField numFmtId="10" showAll="0"/>
    <pivotField numFmtId="10" showAll="0"/>
    <pivotField numFmtId="10" showAll="0"/>
    <pivotField numFmtId="2" showAll="0"/>
    <pivotField dataField="1" numFmtId="10" showAll="0"/>
    <pivotField numFmtId="10" showAll="0"/>
    <pivotField numFmtId="10" showAll="0"/>
  </pivotFields>
  <rowFields count="1">
    <field x="1"/>
  </rowFields>
  <rowItems count="4">
    <i>
      <x/>
    </i>
    <i>
      <x v="1"/>
    </i>
    <i>
      <x v="2"/>
    </i>
    <i>
      <x v="3"/>
    </i>
  </rowItems>
  <colFields count="1">
    <field x="0"/>
  </colFields>
  <colItems count="2">
    <i>
      <x/>
    </i>
    <i>
      <x v="1"/>
    </i>
  </colItems>
  <dataFields count="1">
    <dataField name="Average of Debt-to-Assets" fld="8" subtotal="average" baseField="1" baseItem="0" numFmtId="10"/>
  </dataFields>
  <chartFormats count="4">
    <chartFormat chart="1" format="0" series="1">
      <pivotArea type="data" outline="0" fieldPosition="0">
        <references count="2">
          <reference field="4294967294" count="1" selected="0">
            <x v="0"/>
          </reference>
          <reference field="0" count="1" selected="0">
            <x v="0"/>
          </reference>
        </references>
      </pivotArea>
    </chartFormat>
    <chartFormat chart="1" format="1" series="1">
      <pivotArea type="data" outline="0" fieldPosition="0">
        <references count="2">
          <reference field="4294967294" count="1" selected="0">
            <x v="0"/>
          </reference>
          <reference field="0" count="1" selected="0">
            <x v="1"/>
          </reference>
        </references>
      </pivotArea>
    </chartFormat>
    <chartFormat chart="3" format="4" series="1">
      <pivotArea type="data" outline="0" fieldPosition="0">
        <references count="2">
          <reference field="4294967294" count="1" selected="0">
            <x v="0"/>
          </reference>
          <reference field="0" count="1" selected="0">
            <x v="0"/>
          </reference>
        </references>
      </pivotArea>
    </chartFormat>
    <chartFormat chart="3"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 xr10:uid="{A33485F6-AB06-4A42-AF56-CA84786A7442}" sourceName="Company">
  <pivotTables>
    <pivotTable tabId="32" name="PivotTable17"/>
    <pivotTable tabId="33" name="PivotTable18"/>
    <pivotTable tabId="26" name="PivotTable12"/>
    <pivotTable tabId="28" name="PivotTable14"/>
    <pivotTable tabId="29" name="PivotTable15"/>
    <pivotTable tabId="27" name="PivotTable13"/>
  </pivotTables>
  <data>
    <tabular pivotCacheId="576820527">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iod" xr10:uid="{0529AC4B-5F74-4AE8-98E7-517692CB66F1}" sourceName="Period">
  <pivotTables>
    <pivotTable tabId="32" name="PivotTable17"/>
    <pivotTable tabId="33" name="PivotTable18"/>
    <pivotTable tabId="26" name="PivotTable12"/>
    <pivotTable tabId="28" name="PivotTable14"/>
    <pivotTable tabId="29" name="PivotTable15"/>
    <pivotTable tabId="27" name="PivotTable13"/>
  </pivotTables>
  <data>
    <tabular pivotCacheId="576820527">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any 1" xr10:uid="{16B21163-C460-47D4-B89D-B6214DC3A663}" cache="Slicer_Company" caption="Company" columnCount="2" rowHeight="247650"/>
  <slicer name="Period 1" xr10:uid="{25DA2882-F0CB-4C21-8C55-E09D35046118}" cache="Slicer_Period" caption="Period" columnCount="4"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any" xr10:uid="{7FCA91A4-48F8-44FA-85CF-D907AF49829B}" cache="Slicer_Company" caption="Company" rowHeight="247650"/>
  <slicer name="Period" xr10:uid="{E5174955-B43F-450B-9FA4-8C7F951389B5}" cache="Slicer_Period" caption="Period"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720130E-E980-4B4B-938B-2709581100C4}" name="Table7" displayName="Table7" ref="A1:M3" totalsRowShown="0">
  <autoFilter ref="A1:M3" xr:uid="{7720130E-E980-4B4B-938B-2709581100C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F7CCCED7-3750-41FF-B22D-E9F9D588E878}" name="Company"/>
    <tableColumn id="2" xr3:uid="{61FEC6FF-66F5-4550-8D0B-9193F99CD42D}" name="Period"/>
    <tableColumn id="3" xr3:uid="{595185B7-59F9-4C5A-A35D-3161EF92BBC5}" name="Currency" dataDxfId="1"/>
    <tableColumn id="4" xr3:uid="{49057357-1A5B-4EA0-99D2-48EE25851DA0}" name="Revenue"/>
    <tableColumn id="5" xr3:uid="{9EC84CC5-D239-4B3D-B6A7-1EFB9C712AA6}" name="Gross Profit"/>
    <tableColumn id="6" xr3:uid="{97F95374-15DC-400C-A6F3-39A0680127D9}" name="Operating Income/EBIT"/>
    <tableColumn id="7" xr3:uid="{19F70E55-0056-44B0-81C8-6331F6F5CB52}" name="Net Income"/>
    <tableColumn id="8" xr3:uid="{540D6204-0543-4AE0-9D37-722CEC2324DF}" name="Current Assets"/>
    <tableColumn id="9" xr3:uid="{BAD91429-22FD-4CAD-9519-C806D533490C}" name="Current Liabilities"/>
    <tableColumn id="10" xr3:uid="{72AF45B2-3C3B-4EA0-A40F-8CED0DE95713}" name="Total Assets"/>
    <tableColumn id="11" xr3:uid="{C257F5A4-DDB8-4296-A1B7-1D36BBA40D20}" name="Total Liabilities"/>
    <tableColumn id="12" xr3:uid="{8D853839-A477-4FFB-B60B-0677FBA9663B}" name="Operating Cash Flow"/>
    <tableColumn id="13" xr3:uid="{5BEA1B97-76E1-41A0-91B7-57095CA25AB0}" name="Ending Cash"/>
  </tableColumns>
  <tableStyleInfo name="TableStyleLight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77A15EC-47E1-44B8-BE34-FBF34DCA5F34}" name="Table72" displayName="Table72" ref="A5:O13" totalsRowShown="0">
  <autoFilter ref="A5:O13" xr:uid="{877A15EC-47E1-44B8-BE34-FBF34DCA5F34}"/>
  <tableColumns count="15">
    <tableColumn id="1" xr3:uid="{D8BFD2D1-9A9E-4F53-B34F-A488411CFBAD}" name="Company"/>
    <tableColumn id="2" xr3:uid="{C904CE9B-C013-4827-B0C8-6405C668F2D8}" name="Period"/>
    <tableColumn id="3" xr3:uid="{23C3E3CC-E131-4FB3-BF1B-6DBC23154243}" name="Currency" dataDxfId="0"/>
    <tableColumn id="4" xr3:uid="{A853B622-8F65-4FF5-B9F3-FC3D9333902C}" name="Revenue"/>
    <tableColumn id="5" xr3:uid="{1B745788-8A3F-4B71-BED9-DCC2BC0FAC2C}" name="Gross Profit"/>
    <tableColumn id="6" xr3:uid="{B5194694-FC59-42A7-ABED-FB0D83F93C2E}" name="Operating Income/EBIT"/>
    <tableColumn id="7" xr3:uid="{2AC38762-6741-43F0-8F73-C56BAC94EA54}" name="Net Income"/>
    <tableColumn id="8" xr3:uid="{120ADDB3-5437-4D03-A64D-29F47B254C56}" name="Current Assets"/>
    <tableColumn id="9" xr3:uid="{ABC4C934-6F22-4F65-86D6-515D38119B30}" name="Current Liabilities"/>
    <tableColumn id="10" xr3:uid="{712A7CBB-57F7-438C-842F-F004B33B89CE}" name="Total Assets"/>
    <tableColumn id="11" xr3:uid="{2216C30B-6214-4800-ADBF-93A7F99E2373}" name="Total Liabilities"/>
    <tableColumn id="12" xr3:uid="{6E7E53CA-D7C1-498A-8A22-C0D09E2018CA}" name="Operating Cash Flow"/>
    <tableColumn id="13" xr3:uid="{29818833-8086-4606-BC62-9B11C604239B}" name="Ending Cash"/>
    <tableColumn id="14" xr3:uid="{00000000-0010-0000-0100-00000E000000}" name="FX Rate to USD">
      <calculatedColumnFormula>IF(Table72[[#This Row],[Currency]]="EUR millions",INDEX($F$19:$F$22,MATCH(Table72[[#This Row],[Period]],$E$19:$E$22,0)),1)</calculatedColumnFormula>
    </tableColumn>
    <tableColumn id="15" xr3:uid="{00000000-0010-0000-0100-00000F000000}" name="Revenue (USD M)">
      <calculatedColumnFormula>Table72[[#This Row],[Revenue]]*Table72[[#This Row],[FX Rate to USD]]</calculatedColumnFormula>
    </tableColumn>
  </tableColumns>
  <tableStyleInfo name="TableStyleLight1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6A735C8-C4FD-4908-856D-960C0C43CB81}" name="Table4" displayName="Table4" ref="A11:K19" totalsRowShown="0" headerRowDxfId="17" dataDxfId="15" headerRowBorderDxfId="16" tableBorderDxfId="14" totalsRowBorderDxfId="13">
  <autoFilter ref="A11:K19" xr:uid="{26A735C8-C4FD-4908-856D-960C0C43CB8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02CBCF18-96A8-4EA0-A0C1-95B7B0745B91}" name="Company" dataDxfId="12"/>
    <tableColumn id="2" xr3:uid="{4A3D8917-5694-4873-B2EF-B3AF8E7F253C}" name="Period" dataDxfId="11"/>
    <tableColumn id="3" xr3:uid="{0CF8D6CD-7D80-4C11-A0C3-6CD9C023F26E}" name="Currency" dataDxfId="10"/>
    <tableColumn id="13" xr3:uid="{38EB3265-A360-4D56-86C2-2FF3DC4FFD5A}" name="Revenue" dataDxfId="9"/>
    <tableColumn id="4" xr3:uid="{851514DB-7AF7-49E5-9580-DB2F495A59A6}" name="Gross Profit Margin" dataDxfId="8">
      <calculatedColumnFormula>Clean_Financials!E6/Clean_Financials!D6</calculatedColumnFormula>
    </tableColumn>
    <tableColumn id="5" xr3:uid="{1DFBCC5D-95DE-4C58-BFC2-159CA56088DF}" name="Operating Margin" dataDxfId="7">
      <calculatedColumnFormula>Clean_Financials!F6/Clean_Financials!D6</calculatedColumnFormula>
    </tableColumn>
    <tableColumn id="6" xr3:uid="{B3047476-6776-4AC0-8514-1C21F6236B72}" name="Net Profit Margin" dataDxfId="6">
      <calculatedColumnFormula>Clean_Financials!G6/Clean_Financials!D6</calculatedColumnFormula>
    </tableColumn>
    <tableColumn id="7" xr3:uid="{B83E9AA8-7FE9-4D17-ACB5-C57A56A25B52}" name="Current Ratio" dataDxfId="5">
      <calculatedColumnFormula>Clean_Financials!H6/Clean_Financials!I6</calculatedColumnFormula>
    </tableColumn>
    <tableColumn id="8" xr3:uid="{B433946E-4982-43AC-A24F-C64E622AEE33}" name="Debt-to-Assets" dataDxfId="4">
      <calculatedColumnFormula>Clean_Financials!K6/Clean_Financials!J6</calculatedColumnFormula>
    </tableColumn>
    <tableColumn id="9" xr3:uid="{A7C60BAD-42AC-44A8-9CFF-DDFB30508ED8}" name="Operating Cash Flow Margin" dataDxfId="3">
      <calculatedColumnFormula>Clean_Financials!L6/Clean_Financials!D6</calculatedColumnFormula>
    </tableColumn>
    <tableColumn id="10" xr3:uid="{DC73CE07-0AA0-4755-A741-BDB4983402B9}" name="Cash-to-Revenue Ratio" dataDxfId="2">
      <calculatedColumnFormula>Clean_Financials!M6/Clean_Financials!D6</calculatedColumnFormula>
    </tableColumn>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6.bin"/><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7.bin"/><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8.bin"/><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9.bin"/><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10.bin"/><Relationship Id="rId1" Type="http://schemas.openxmlformats.org/officeDocument/2006/relationships/pivotTable" Target="../pivotTables/pivotTable6.xml"/><Relationship Id="rId4" Type="http://schemas.microsoft.com/office/2007/relationships/slicer" Target="../slicers/slicer2.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1.bin"/><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9DA00-1D9D-45C9-B11D-B8FDA9A747F6}">
  <sheetPr published="0"/>
  <dimension ref="A1:F51"/>
  <sheetViews>
    <sheetView showGridLines="0" zoomScale="75" zoomScaleNormal="75" workbookViewId="0">
      <selection activeCell="J29" sqref="J29"/>
    </sheetView>
  </sheetViews>
  <sheetFormatPr defaultRowHeight="14.4" x14ac:dyDescent="0.3"/>
  <cols>
    <col min="1" max="1" width="120.77734375" customWidth="1"/>
  </cols>
  <sheetData>
    <row r="1" spans="1:6" ht="23.4" x14ac:dyDescent="0.45">
      <c r="A1" s="12" t="s">
        <v>39</v>
      </c>
      <c r="B1" s="12"/>
      <c r="C1" s="12"/>
      <c r="D1" s="12"/>
      <c r="E1" s="12"/>
      <c r="F1" s="12"/>
    </row>
    <row r="2" spans="1:6" x14ac:dyDescent="0.3">
      <c r="A2" s="89" t="s">
        <v>53</v>
      </c>
      <c r="B2" s="89"/>
    </row>
    <row r="3" spans="1:6" ht="43.2" customHeight="1" x14ac:dyDescent="0.3">
      <c r="A3" s="1" t="s">
        <v>54</v>
      </c>
    </row>
    <row r="5" spans="1:6" x14ac:dyDescent="0.3">
      <c r="A5" s="90" t="s">
        <v>55</v>
      </c>
      <c r="B5" s="90"/>
    </row>
    <row r="6" spans="1:6" x14ac:dyDescent="0.3">
      <c r="A6" t="s">
        <v>56</v>
      </c>
    </row>
    <row r="8" spans="1:6" x14ac:dyDescent="0.3">
      <c r="A8" s="78" t="s">
        <v>57</v>
      </c>
      <c r="B8" s="78"/>
    </row>
    <row r="9" spans="1:6" ht="57.6" customHeight="1" x14ac:dyDescent="0.3">
      <c r="A9" s="1" t="s">
        <v>75</v>
      </c>
    </row>
    <row r="11" spans="1:6" x14ac:dyDescent="0.3">
      <c r="A11" s="89" t="s">
        <v>58</v>
      </c>
      <c r="B11" s="89"/>
    </row>
    <row r="12" spans="1:6" x14ac:dyDescent="0.3">
      <c r="A12" t="s">
        <v>0</v>
      </c>
    </row>
    <row r="13" spans="1:6" x14ac:dyDescent="0.3">
      <c r="A13" t="s">
        <v>19</v>
      </c>
    </row>
    <row r="14" spans="1:6" x14ac:dyDescent="0.3">
      <c r="A14" t="s">
        <v>37</v>
      </c>
    </row>
    <row r="15" spans="1:6" x14ac:dyDescent="0.3">
      <c r="A15" t="s">
        <v>23</v>
      </c>
    </row>
    <row r="16" spans="1:6" x14ac:dyDescent="0.3">
      <c r="A16" t="s">
        <v>20</v>
      </c>
    </row>
    <row r="17" spans="1:3" x14ac:dyDescent="0.3">
      <c r="A17" t="s">
        <v>59</v>
      </c>
    </row>
    <row r="18" spans="1:3" x14ac:dyDescent="0.3">
      <c r="A18" t="s">
        <v>22</v>
      </c>
    </row>
    <row r="20" spans="1:3" x14ac:dyDescent="0.3">
      <c r="A20" s="78" t="s">
        <v>45</v>
      </c>
      <c r="B20" s="78"/>
      <c r="C20" s="79"/>
    </row>
    <row r="21" spans="1:3" x14ac:dyDescent="0.3">
      <c r="A21" t="s">
        <v>50</v>
      </c>
    </row>
    <row r="22" spans="1:3" x14ac:dyDescent="0.3">
      <c r="A22" t="s">
        <v>47</v>
      </c>
    </row>
    <row r="23" spans="1:3" x14ac:dyDescent="0.3">
      <c r="A23" t="s">
        <v>51</v>
      </c>
    </row>
    <row r="24" spans="1:3" x14ac:dyDescent="0.3">
      <c r="A24" t="s">
        <v>52</v>
      </c>
    </row>
    <row r="25" spans="1:3" x14ac:dyDescent="0.3">
      <c r="A25" t="s">
        <v>77</v>
      </c>
    </row>
    <row r="27" spans="1:3" x14ac:dyDescent="0.3">
      <c r="A27" s="89" t="s">
        <v>60</v>
      </c>
      <c r="B27" s="89"/>
    </row>
    <row r="28" spans="1:3" x14ac:dyDescent="0.3">
      <c r="A28" t="s">
        <v>61</v>
      </c>
    </row>
    <row r="29" spans="1:3" x14ac:dyDescent="0.3">
      <c r="A29" t="s">
        <v>62</v>
      </c>
    </row>
    <row r="30" spans="1:3" x14ac:dyDescent="0.3">
      <c r="A30" t="s">
        <v>63</v>
      </c>
    </row>
    <row r="31" spans="1:3" x14ac:dyDescent="0.3">
      <c r="A31" t="s">
        <v>64</v>
      </c>
    </row>
    <row r="32" spans="1:3" x14ac:dyDescent="0.3">
      <c r="A32" t="s">
        <v>65</v>
      </c>
    </row>
    <row r="33" spans="1:2" x14ac:dyDescent="0.3">
      <c r="A33" t="s">
        <v>66</v>
      </c>
    </row>
    <row r="34" spans="1:2" x14ac:dyDescent="0.3">
      <c r="A34" t="s">
        <v>67</v>
      </c>
    </row>
    <row r="35" spans="1:2" x14ac:dyDescent="0.3">
      <c r="A35" t="s">
        <v>68</v>
      </c>
    </row>
    <row r="36" spans="1:2" x14ac:dyDescent="0.3">
      <c r="A36" t="s">
        <v>69</v>
      </c>
    </row>
    <row r="38" spans="1:2" x14ac:dyDescent="0.3">
      <c r="A38" s="78" t="s">
        <v>70</v>
      </c>
      <c r="B38" s="77"/>
    </row>
    <row r="39" spans="1:2" x14ac:dyDescent="0.3">
      <c r="A39" t="s">
        <v>71</v>
      </c>
    </row>
    <row r="40" spans="1:2" x14ac:dyDescent="0.3">
      <c r="A40" t="s">
        <v>72</v>
      </c>
    </row>
    <row r="41" spans="1:2" x14ac:dyDescent="0.3">
      <c r="A41" t="s">
        <v>73</v>
      </c>
    </row>
    <row r="42" spans="1:2" x14ac:dyDescent="0.3">
      <c r="A42" t="s">
        <v>74</v>
      </c>
    </row>
    <row r="44" spans="1:2" x14ac:dyDescent="0.3">
      <c r="A44" s="78" t="s">
        <v>76</v>
      </c>
      <c r="B44" s="78"/>
    </row>
    <row r="45" spans="1:2" ht="28.8" x14ac:dyDescent="0.3">
      <c r="A45" s="1" t="s">
        <v>78</v>
      </c>
    </row>
    <row r="47" spans="1:2" x14ac:dyDescent="0.3">
      <c r="A47" s="89" t="s">
        <v>79</v>
      </c>
      <c r="B47" s="91"/>
    </row>
    <row r="48" spans="1:2" x14ac:dyDescent="0.3">
      <c r="A48" s="1" t="s">
        <v>80</v>
      </c>
    </row>
    <row r="49" spans="1:1" ht="28.8" x14ac:dyDescent="0.3">
      <c r="A49" s="1" t="s">
        <v>81</v>
      </c>
    </row>
    <row r="50" spans="1:1" x14ac:dyDescent="0.3">
      <c r="A50" s="1" t="s">
        <v>82</v>
      </c>
    </row>
    <row r="51" spans="1:1" x14ac:dyDescent="0.3">
      <c r="A51" s="1" t="s">
        <v>83</v>
      </c>
    </row>
  </sheetData>
  <mergeCells count="5">
    <mergeCell ref="A2:B2"/>
    <mergeCell ref="A5:B5"/>
    <mergeCell ref="A11:B11"/>
    <mergeCell ref="A27:B27"/>
    <mergeCell ref="A47:B47"/>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E1016-5686-4E3F-BA24-2D6FC37C44FF}">
  <sheetPr>
    <pageSetUpPr fitToPage="1"/>
  </sheetPr>
  <dimension ref="A1:AB41"/>
  <sheetViews>
    <sheetView showGridLines="0" zoomScale="55" zoomScaleNormal="50" workbookViewId="0">
      <selection activeCell="G44" sqref="G44"/>
    </sheetView>
  </sheetViews>
  <sheetFormatPr defaultRowHeight="14.4" x14ac:dyDescent="0.3"/>
  <cols>
    <col min="7" max="7" width="11.33203125" customWidth="1"/>
    <col min="8" max="8" width="13.109375" customWidth="1"/>
    <col min="9" max="9" width="12.33203125" customWidth="1"/>
    <col min="10" max="10" width="33.21875" bestFit="1" customWidth="1"/>
    <col min="11" max="11" width="28.5546875" bestFit="1" customWidth="1"/>
    <col min="12" max="12" width="16.109375" bestFit="1" customWidth="1"/>
    <col min="13" max="13" width="20.109375" bestFit="1" customWidth="1"/>
    <col min="14" max="14" width="13" customWidth="1"/>
    <col min="15" max="15" width="13.88671875" bestFit="1" customWidth="1"/>
  </cols>
  <sheetData>
    <row r="1" spans="1:28" ht="28.8" x14ac:dyDescent="0.55000000000000004">
      <c r="A1" s="66" t="s">
        <v>39</v>
      </c>
      <c r="B1" s="66"/>
      <c r="C1" s="66"/>
      <c r="D1" s="66"/>
      <c r="E1" s="66"/>
      <c r="F1" s="66"/>
      <c r="G1" s="66"/>
      <c r="H1" s="66"/>
      <c r="I1" s="66"/>
      <c r="J1" s="66"/>
      <c r="K1" s="65"/>
    </row>
    <row r="2" spans="1:28" ht="18" x14ac:dyDescent="0.35">
      <c r="A2" s="64" t="s">
        <v>40</v>
      </c>
      <c r="B2" s="64"/>
      <c r="C2" s="64"/>
      <c r="D2" s="64"/>
      <c r="E2" s="64"/>
      <c r="F2" s="64"/>
      <c r="G2" s="64"/>
      <c r="H2" s="64"/>
      <c r="I2" s="64"/>
      <c r="J2" s="64"/>
      <c r="K2" s="64"/>
      <c r="L2" s="57"/>
      <c r="M2" s="57"/>
    </row>
    <row r="3" spans="1:28" ht="18" x14ac:dyDescent="0.35">
      <c r="J3" s="96" t="s">
        <v>44</v>
      </c>
      <c r="K3" s="96"/>
      <c r="L3" s="96"/>
      <c r="M3" s="96"/>
      <c r="N3" s="96"/>
      <c r="O3" s="96"/>
    </row>
    <row r="4" spans="1:28" ht="28.8" customHeight="1" x14ac:dyDescent="0.35">
      <c r="G4" s="9"/>
      <c r="H4" s="9"/>
      <c r="J4" s="67" t="s">
        <v>48</v>
      </c>
      <c r="K4" s="68" t="s">
        <v>49</v>
      </c>
      <c r="L4" s="68" t="s">
        <v>43</v>
      </c>
      <c r="M4" s="68" t="s">
        <v>37</v>
      </c>
      <c r="N4" s="68" t="s">
        <v>41</v>
      </c>
      <c r="O4" s="69" t="s">
        <v>42</v>
      </c>
    </row>
    <row r="5" spans="1:28" ht="18" customHeight="1" x14ac:dyDescent="0.35">
      <c r="H5" s="52"/>
      <c r="J5" s="88" t="s">
        <v>12</v>
      </c>
      <c r="K5" s="72">
        <f>SUMIFS(Table72[Revenue (USD M)],Table72[Company],$J5)</f>
        <v>46309</v>
      </c>
      <c r="L5" s="70">
        <f>SUMIFS(Table72[Gross Profit],Table72[Company],$J5)/SUMIFS(Table72[Revenue],Table72[Company],$J5)</f>
        <v>0.42734673605562634</v>
      </c>
      <c r="M5" s="70">
        <f>SUMIFS(Table72[Operating Income/EBIT],Table72[Company],$J5)/SUMIFS(Table72[Revenue],Table72[Company],$J5)</f>
        <v>8.1582413785657212E-2</v>
      </c>
      <c r="N5" s="70">
        <f>SUMIFS(Table72[Net Income],Table72[Company],$J5)/SUMIFS(Table72[Revenue],Table72[Company],$J5)</f>
        <v>6.9511326092120324E-2</v>
      </c>
      <c r="O5" s="71">
        <f>SUMIFS(Table72[Operating Cash Flow],Table72[Company],$J5)/SUMIFS(Table72[Revenue],Table72[Company],$J5)</f>
        <v>7.9854887818782527E-2</v>
      </c>
    </row>
    <row r="6" spans="1:28" ht="18" customHeight="1" x14ac:dyDescent="0.35">
      <c r="H6" s="52"/>
      <c r="J6" s="88" t="s">
        <v>13</v>
      </c>
      <c r="K6" s="72">
        <f>SUMIFS(Table72[Revenue (USD M)],Table72[Company],$J6)</f>
        <v>28044.232805000003</v>
      </c>
      <c r="L6" s="70">
        <f>SUMIFS(Table72[Gross Profit],Table72[Company],$J6)/SUMIFS(Table72[Revenue],Table72[Company],$J6)</f>
        <v>0.51610172907178264</v>
      </c>
      <c r="M6" s="70">
        <f>SUMIFS(Table72[Operating Income/EBIT],Table72[Company],$J6)/SUMIFS(Table72[Revenue],Table72[Company],$J6)</f>
        <v>8.2866470517109353E-2</v>
      </c>
      <c r="N6" s="70">
        <f>SUMIFS(Table72[Net Income],Table72[Company],$J6)/SUMIFS(Table72[Revenue],Table72[Company],$J6)</f>
        <v>5.5862319132642779E-2</v>
      </c>
      <c r="O6" s="71">
        <f>SUMIFS(Table72[Operating Cash Flow],Table72[Company],$J6)/SUMIFS(Table72[Revenue],Table72[Company],$J6)</f>
        <v>3.0268832372737899E-2</v>
      </c>
    </row>
    <row r="7" spans="1:28" x14ac:dyDescent="0.3">
      <c r="H7" s="52"/>
    </row>
    <row r="8" spans="1:28" x14ac:dyDescent="0.3">
      <c r="G8" s="9"/>
    </row>
    <row r="9" spans="1:28" ht="21" x14ac:dyDescent="0.4">
      <c r="R9" s="97"/>
      <c r="S9" s="91"/>
      <c r="T9" s="91"/>
      <c r="U9" s="91"/>
      <c r="V9" s="91"/>
      <c r="W9" s="91"/>
      <c r="X9" s="91"/>
      <c r="Y9" s="91"/>
      <c r="Z9" s="91"/>
    </row>
    <row r="10" spans="1:28" ht="15.6" customHeight="1" x14ac:dyDescent="0.3">
      <c r="R10" s="95"/>
      <c r="S10" s="95"/>
      <c r="T10" s="95"/>
      <c r="U10" s="95"/>
      <c r="V10" s="95"/>
      <c r="W10" s="95"/>
      <c r="X10" s="95"/>
      <c r="Y10" s="95"/>
      <c r="Z10" s="95"/>
      <c r="AA10" s="95"/>
      <c r="AB10" s="95"/>
    </row>
    <row r="11" spans="1:28" ht="15.6" customHeight="1" x14ac:dyDescent="0.3">
      <c r="R11" s="95"/>
      <c r="S11" s="95"/>
      <c r="T11" s="95"/>
      <c r="U11" s="95"/>
      <c r="V11" s="95"/>
      <c r="W11" s="95"/>
      <c r="X11" s="95"/>
      <c r="Y11" s="95"/>
      <c r="Z11" s="95"/>
      <c r="AA11" s="95"/>
      <c r="AB11" s="95"/>
    </row>
    <row r="12" spans="1:28" ht="15.6" customHeight="1" x14ac:dyDescent="0.3">
      <c r="R12" s="95"/>
      <c r="S12" s="95"/>
      <c r="T12" s="95"/>
      <c r="U12" s="95"/>
      <c r="V12" s="95"/>
      <c r="W12" s="95"/>
      <c r="X12" s="95"/>
      <c r="Y12" s="95"/>
      <c r="Z12" s="95"/>
      <c r="AA12" s="95"/>
      <c r="AB12" s="95"/>
    </row>
    <row r="13" spans="1:28" ht="15.6" customHeight="1" x14ac:dyDescent="0.3">
      <c r="R13" s="95"/>
      <c r="S13" s="95"/>
      <c r="T13" s="95"/>
      <c r="U13" s="95"/>
      <c r="V13" s="95"/>
      <c r="W13" s="95"/>
      <c r="X13" s="95"/>
      <c r="Y13" s="95"/>
      <c r="Z13" s="95"/>
      <c r="AA13" s="95"/>
      <c r="AB13" s="95"/>
    </row>
    <row r="14" spans="1:28" ht="15.6" customHeight="1" x14ac:dyDescent="0.3">
      <c r="R14" s="95"/>
      <c r="S14" s="95"/>
      <c r="T14" s="95"/>
      <c r="U14" s="95"/>
      <c r="V14" s="95"/>
      <c r="W14" s="95"/>
      <c r="X14" s="95"/>
      <c r="Y14" s="95"/>
      <c r="Z14" s="95"/>
      <c r="AA14" s="95"/>
      <c r="AB14" s="95"/>
    </row>
    <row r="15" spans="1:28" x14ac:dyDescent="0.3">
      <c r="R15" s="92"/>
      <c r="S15" s="92"/>
      <c r="T15" s="92"/>
      <c r="U15" s="92"/>
      <c r="V15" s="92"/>
      <c r="W15" s="92"/>
      <c r="X15" s="92"/>
      <c r="Y15" s="92"/>
      <c r="Z15" s="92"/>
      <c r="AA15" s="92"/>
      <c r="AB15" s="92"/>
    </row>
    <row r="16" spans="1:28" x14ac:dyDescent="0.3">
      <c r="R16" s="92"/>
      <c r="S16" s="92"/>
      <c r="T16" s="92"/>
      <c r="U16" s="92"/>
      <c r="V16" s="92"/>
      <c r="W16" s="92"/>
      <c r="X16" s="92"/>
      <c r="Y16" s="92"/>
      <c r="Z16" s="92"/>
      <c r="AA16" s="92"/>
      <c r="AB16" s="92"/>
    </row>
    <row r="17" spans="18:28" x14ac:dyDescent="0.3">
      <c r="R17" s="92"/>
      <c r="S17" s="92"/>
      <c r="T17" s="92"/>
      <c r="U17" s="92"/>
      <c r="V17" s="92"/>
      <c r="W17" s="92"/>
      <c r="X17" s="92"/>
      <c r="Y17" s="92"/>
      <c r="Z17" s="92"/>
      <c r="AA17" s="92"/>
      <c r="AB17" s="92"/>
    </row>
    <row r="18" spans="18:28" x14ac:dyDescent="0.3">
      <c r="R18" s="92"/>
      <c r="S18" s="92"/>
      <c r="T18" s="92"/>
      <c r="U18" s="92"/>
      <c r="V18" s="92"/>
      <c r="W18" s="92"/>
      <c r="X18" s="92"/>
      <c r="Y18" s="92"/>
      <c r="Z18" s="92"/>
      <c r="AA18" s="92"/>
      <c r="AB18" s="92"/>
    </row>
    <row r="19" spans="18:28" x14ac:dyDescent="0.3">
      <c r="R19" s="92"/>
      <c r="S19" s="92"/>
      <c r="T19" s="92"/>
      <c r="U19" s="92"/>
      <c r="V19" s="92"/>
      <c r="W19" s="92"/>
      <c r="X19" s="92"/>
      <c r="Y19" s="92"/>
      <c r="Z19" s="92"/>
      <c r="AA19" s="92"/>
      <c r="AB19" s="92"/>
    </row>
    <row r="20" spans="18:28" x14ac:dyDescent="0.3">
      <c r="R20" s="92"/>
      <c r="S20" s="92"/>
      <c r="T20" s="92"/>
      <c r="U20" s="92"/>
      <c r="V20" s="92"/>
      <c r="W20" s="92"/>
      <c r="X20" s="92"/>
      <c r="Y20" s="92"/>
      <c r="Z20" s="92"/>
      <c r="AA20" s="92"/>
      <c r="AB20" s="92"/>
    </row>
    <row r="21" spans="18:28" x14ac:dyDescent="0.3">
      <c r="R21" s="92"/>
      <c r="S21" s="92"/>
      <c r="T21" s="92"/>
      <c r="U21" s="92"/>
      <c r="V21" s="92"/>
      <c r="W21" s="92"/>
      <c r="X21" s="92"/>
      <c r="Y21" s="92"/>
      <c r="Z21" s="92"/>
      <c r="AA21" s="92"/>
      <c r="AB21" s="92"/>
    </row>
    <row r="22" spans="18:28" x14ac:dyDescent="0.3">
      <c r="R22" s="92"/>
      <c r="S22" s="92"/>
      <c r="T22" s="92"/>
      <c r="U22" s="92"/>
      <c r="V22" s="92"/>
      <c r="W22" s="92"/>
      <c r="X22" s="92"/>
      <c r="Y22" s="92"/>
      <c r="Z22" s="92"/>
      <c r="AA22" s="92"/>
      <c r="AB22" s="92"/>
    </row>
    <row r="30" spans="18:28" x14ac:dyDescent="0.3">
      <c r="T30" s="9"/>
    </row>
    <row r="34" spans="1:16" ht="45" customHeight="1" x14ac:dyDescent="0.3">
      <c r="A34" s="93" t="s">
        <v>46</v>
      </c>
      <c r="B34" s="94"/>
      <c r="C34" s="94"/>
      <c r="D34" s="94"/>
      <c r="E34" s="94"/>
      <c r="F34" s="94"/>
      <c r="G34" s="94"/>
      <c r="H34" s="94"/>
      <c r="I34" s="94"/>
      <c r="J34" s="94"/>
      <c r="K34" s="94"/>
      <c r="L34" s="91"/>
      <c r="M34" s="91"/>
      <c r="N34" s="91"/>
      <c r="O34" s="91"/>
      <c r="P34" s="91"/>
    </row>
    <row r="36" spans="1:16" ht="21" x14ac:dyDescent="0.4">
      <c r="A36" s="76" t="s">
        <v>45</v>
      </c>
      <c r="B36" s="10"/>
      <c r="C36" s="10"/>
      <c r="D36" s="10"/>
      <c r="E36" s="10"/>
      <c r="F36" s="10"/>
      <c r="G36" s="10"/>
      <c r="H36" s="10"/>
      <c r="I36" s="10"/>
      <c r="J36" s="10"/>
      <c r="K36" s="10"/>
      <c r="L36" s="10"/>
      <c r="M36" s="11"/>
    </row>
    <row r="37" spans="1:16" ht="18" x14ac:dyDescent="0.35">
      <c r="A37" s="73" t="s">
        <v>50</v>
      </c>
      <c r="B37" s="57"/>
      <c r="C37" s="57"/>
      <c r="D37" s="57"/>
      <c r="E37" s="57"/>
      <c r="F37" s="57"/>
      <c r="G37" s="57"/>
      <c r="H37" s="57"/>
      <c r="I37" s="57"/>
      <c r="J37" s="57"/>
      <c r="K37" s="57"/>
      <c r="M37" s="2"/>
    </row>
    <row r="38" spans="1:16" ht="18" x14ac:dyDescent="0.35">
      <c r="A38" s="73" t="s">
        <v>47</v>
      </c>
      <c r="B38" s="57"/>
      <c r="C38" s="57"/>
      <c r="D38" s="57"/>
      <c r="E38" s="57"/>
      <c r="F38" s="57"/>
      <c r="G38" s="57"/>
      <c r="H38" s="57"/>
      <c r="I38" s="57"/>
      <c r="J38" s="57"/>
      <c r="K38" s="57"/>
      <c r="M38" s="2"/>
    </row>
    <row r="39" spans="1:16" ht="18" x14ac:dyDescent="0.35">
      <c r="A39" s="73" t="s">
        <v>51</v>
      </c>
      <c r="B39" s="57"/>
      <c r="C39" s="57"/>
      <c r="D39" s="57"/>
      <c r="E39" s="57"/>
      <c r="F39" s="57"/>
      <c r="G39" s="57"/>
      <c r="H39" s="57"/>
      <c r="I39" s="57"/>
      <c r="J39" s="57"/>
      <c r="K39" s="57"/>
      <c r="M39" s="2"/>
    </row>
    <row r="40" spans="1:16" ht="18" x14ac:dyDescent="0.35">
      <c r="A40" s="73" t="s">
        <v>52</v>
      </c>
      <c r="B40" s="57"/>
      <c r="C40" s="57"/>
      <c r="D40" s="57"/>
      <c r="E40" s="57"/>
      <c r="F40" s="57"/>
      <c r="G40" s="57"/>
      <c r="H40" s="57"/>
      <c r="I40" s="57"/>
      <c r="J40" s="57"/>
      <c r="K40" s="57"/>
      <c r="M40" s="2"/>
    </row>
    <row r="41" spans="1:16" ht="18" x14ac:dyDescent="0.35">
      <c r="A41" s="74" t="s">
        <v>77</v>
      </c>
      <c r="B41" s="75"/>
      <c r="C41" s="75"/>
      <c r="D41" s="75"/>
      <c r="E41" s="75"/>
      <c r="F41" s="75"/>
      <c r="G41" s="75"/>
      <c r="H41" s="75"/>
      <c r="I41" s="75"/>
      <c r="J41" s="75"/>
      <c r="K41" s="75"/>
      <c r="L41" s="3"/>
      <c r="M41" s="4"/>
    </row>
  </sheetData>
  <mergeCells count="16">
    <mergeCell ref="J3:O3"/>
    <mergeCell ref="R17:AB17"/>
    <mergeCell ref="R18:AB18"/>
    <mergeCell ref="R19:AB19"/>
    <mergeCell ref="R20:AB20"/>
    <mergeCell ref="R9:Z9"/>
    <mergeCell ref="R21:AB21"/>
    <mergeCell ref="R22:AB22"/>
    <mergeCell ref="A34:P34"/>
    <mergeCell ref="R10:AB10"/>
    <mergeCell ref="R11:AB11"/>
    <mergeCell ref="R12:AB12"/>
    <mergeCell ref="R13:AB13"/>
    <mergeCell ref="R14:AB14"/>
    <mergeCell ref="R15:AB15"/>
    <mergeCell ref="R16:AB16"/>
  </mergeCells>
  <pageMargins left="0.7" right="0.7" top="0.75" bottom="0.75" header="0.3" footer="0.3"/>
  <pageSetup paperSize="5" scale="48" orientation="landscape"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244B8-7417-4AB8-9B10-55A69A845112}">
  <sheetPr published="0"/>
  <dimension ref="A1:O36"/>
  <sheetViews>
    <sheetView tabSelected="1" topLeftCell="A11" workbookViewId="0">
      <selection activeCell="E5" sqref="E5"/>
    </sheetView>
  </sheetViews>
  <sheetFormatPr defaultRowHeight="14.4" x14ac:dyDescent="0.3"/>
  <cols>
    <col min="1" max="1" width="11" customWidth="1"/>
    <col min="2" max="2" width="9.6640625" customWidth="1"/>
    <col min="3" max="3" width="10.5546875" customWidth="1"/>
    <col min="4" max="4" width="11" bestFit="1" customWidth="1"/>
    <col min="5" max="5" width="13.5546875" bestFit="1" customWidth="1"/>
    <col min="6" max="6" width="23.5546875" bestFit="1" customWidth="1"/>
    <col min="7" max="7" width="12.6640625" customWidth="1"/>
    <col min="8" max="8" width="16.33203125" bestFit="1" customWidth="1"/>
    <col min="9" max="9" width="18.5546875" bestFit="1" customWidth="1"/>
    <col min="10" max="10" width="14.109375" customWidth="1"/>
    <col min="11" max="11" width="16.6640625" bestFit="1" customWidth="1"/>
    <col min="12" max="12" width="21.33203125" bestFit="1" customWidth="1"/>
    <col min="13" max="13" width="13.44140625" customWidth="1"/>
    <col min="14" max="14" width="15" customWidth="1"/>
    <col min="15" max="15" width="16" customWidth="1"/>
  </cols>
  <sheetData>
    <row r="1" spans="1:15" x14ac:dyDescent="0.3">
      <c r="A1" t="s">
        <v>1</v>
      </c>
      <c r="B1" t="s">
        <v>2</v>
      </c>
      <c r="C1" t="s">
        <v>3</v>
      </c>
      <c r="D1" t="s">
        <v>0</v>
      </c>
      <c r="E1" t="s">
        <v>4</v>
      </c>
      <c r="F1" s="1" t="s">
        <v>18</v>
      </c>
      <c r="G1" t="s">
        <v>5</v>
      </c>
      <c r="H1" t="s">
        <v>6</v>
      </c>
      <c r="I1" t="s">
        <v>7</v>
      </c>
      <c r="J1" t="s">
        <v>8</v>
      </c>
      <c r="K1" t="s">
        <v>9</v>
      </c>
      <c r="L1" s="1" t="s">
        <v>10</v>
      </c>
      <c r="M1" t="s">
        <v>11</v>
      </c>
    </row>
    <row r="2" spans="1:15" ht="28.8" x14ac:dyDescent="0.3">
      <c r="A2" t="s">
        <v>12</v>
      </c>
      <c r="B2" t="s">
        <v>14</v>
      </c>
      <c r="C2" s="1" t="s">
        <v>16</v>
      </c>
      <c r="D2" s="84">
        <v>11720</v>
      </c>
      <c r="E2" s="84">
        <v>4943</v>
      </c>
      <c r="F2" s="84">
        <v>904</v>
      </c>
      <c r="G2" s="84">
        <v>727</v>
      </c>
      <c r="H2" s="84">
        <v>23898</v>
      </c>
      <c r="I2" s="84">
        <v>10911</v>
      </c>
      <c r="J2" s="84">
        <v>37334</v>
      </c>
      <c r="K2" s="84">
        <v>23866</v>
      </c>
      <c r="L2" s="84">
        <v>222</v>
      </c>
      <c r="M2" s="84">
        <v>7024</v>
      </c>
    </row>
    <row r="3" spans="1:15" ht="28.8" x14ac:dyDescent="0.3">
      <c r="A3" t="s">
        <v>13</v>
      </c>
      <c r="B3" t="s">
        <v>15</v>
      </c>
      <c r="C3" s="1" t="s">
        <v>17</v>
      </c>
      <c r="D3" s="84">
        <v>6592</v>
      </c>
      <c r="E3" s="84">
        <v>3369</v>
      </c>
      <c r="F3" s="84">
        <v>705</v>
      </c>
      <c r="G3" s="84">
        <v>487</v>
      </c>
      <c r="H3" s="84">
        <v>12280</v>
      </c>
      <c r="I3" s="84">
        <v>9088</v>
      </c>
      <c r="J3" s="84">
        <v>20454</v>
      </c>
      <c r="K3" s="84">
        <v>14105</v>
      </c>
      <c r="L3" s="84">
        <v>-350</v>
      </c>
      <c r="M3" s="84">
        <v>873</v>
      </c>
    </row>
    <row r="5" spans="1:15" x14ac:dyDescent="0.3">
      <c r="A5" t="s">
        <v>1</v>
      </c>
      <c r="B5" t="s">
        <v>2</v>
      </c>
      <c r="C5" t="s">
        <v>3</v>
      </c>
      <c r="D5" t="s">
        <v>0</v>
      </c>
      <c r="E5" t="s">
        <v>4</v>
      </c>
      <c r="F5" s="1" t="s">
        <v>18</v>
      </c>
      <c r="G5" t="s">
        <v>5</v>
      </c>
      <c r="H5" t="s">
        <v>6</v>
      </c>
      <c r="I5" t="s">
        <v>7</v>
      </c>
      <c r="J5" t="s">
        <v>8</v>
      </c>
      <c r="K5" t="s">
        <v>9</v>
      </c>
      <c r="L5" s="1" t="s">
        <v>10</v>
      </c>
      <c r="M5" t="s">
        <v>11</v>
      </c>
      <c r="N5" t="s">
        <v>84</v>
      </c>
      <c r="O5" t="s">
        <v>49</v>
      </c>
    </row>
    <row r="6" spans="1:15" ht="28.8" x14ac:dyDescent="0.3">
      <c r="A6" s="53" t="s">
        <v>12</v>
      </c>
      <c r="B6" s="53" t="s">
        <v>32</v>
      </c>
      <c r="C6" s="54" t="s">
        <v>16</v>
      </c>
      <c r="D6" s="80">
        <v>11589</v>
      </c>
      <c r="E6" s="80">
        <v>5257</v>
      </c>
      <c r="F6" s="80">
        <v>1264</v>
      </c>
      <c r="G6" s="80">
        <v>1051</v>
      </c>
      <c r="H6" s="80">
        <v>25040</v>
      </c>
      <c r="I6" s="80">
        <v>10628</v>
      </c>
      <c r="J6" s="80">
        <v>37867</v>
      </c>
      <c r="K6" s="80">
        <v>23923</v>
      </c>
      <c r="L6" s="80">
        <v>394</v>
      </c>
      <c r="M6" s="80">
        <v>8485</v>
      </c>
      <c r="N6" s="82">
        <f>IF(Table72[[#This Row],[Currency]]="EUR millions",INDEX($F$19:$F$22,MATCH(Table72[[#This Row],[Period]],$E$19:$E$22,0)),1)</f>
        <v>1</v>
      </c>
      <c r="O6" s="80">
        <f>Table72[[#This Row],[Revenue]]*Table72[[#This Row],[FX Rate to USD]]</f>
        <v>11589</v>
      </c>
    </row>
    <row r="7" spans="1:15" ht="28.8" x14ac:dyDescent="0.3">
      <c r="A7" s="53" t="s">
        <v>12</v>
      </c>
      <c r="B7" s="53" t="s">
        <v>33</v>
      </c>
      <c r="C7" s="54" t="s">
        <v>16</v>
      </c>
      <c r="D7" s="80">
        <v>12354</v>
      </c>
      <c r="E7" s="80">
        <v>5389</v>
      </c>
      <c r="F7" s="80">
        <v>1392</v>
      </c>
      <c r="G7" s="80">
        <v>1163</v>
      </c>
      <c r="H7" s="80">
        <v>24980</v>
      </c>
      <c r="I7" s="80">
        <v>11246</v>
      </c>
      <c r="J7" s="80">
        <v>37959</v>
      </c>
      <c r="K7" s="80">
        <v>23922</v>
      </c>
      <c r="L7" s="80">
        <v>1049</v>
      </c>
      <c r="M7" s="80">
        <v>7979</v>
      </c>
      <c r="N7" s="82">
        <f>IF(Table72[[#This Row],[Currency]]="EUR millions",INDEX($F$19:$F$22,MATCH(Table72[[#This Row],[Period]],$E$19:$E$22,0)),1)</f>
        <v>1</v>
      </c>
      <c r="O7" s="80">
        <f>Table72[[#This Row],[Revenue]]*Table72[[#This Row],[FX Rate to USD]]</f>
        <v>12354</v>
      </c>
    </row>
    <row r="8" spans="1:15" ht="28.8" x14ac:dyDescent="0.3">
      <c r="A8" s="53" t="s">
        <v>12</v>
      </c>
      <c r="B8" s="53" t="s">
        <v>34</v>
      </c>
      <c r="C8" s="54" t="s">
        <v>16</v>
      </c>
      <c r="D8" s="80">
        <v>11269</v>
      </c>
      <c r="E8" s="80">
        <v>4675</v>
      </c>
      <c r="F8" s="80">
        <v>826</v>
      </c>
      <c r="G8" s="80">
        <v>794</v>
      </c>
      <c r="H8" s="80">
        <v>24609</v>
      </c>
      <c r="I8" s="80">
        <v>11223</v>
      </c>
      <c r="J8" s="80">
        <v>37793</v>
      </c>
      <c r="K8" s="80">
        <v>23786</v>
      </c>
      <c r="L8" s="80">
        <v>1792</v>
      </c>
      <c r="M8" s="80">
        <v>8601</v>
      </c>
      <c r="N8" s="82">
        <f>IF(Table72[[#This Row],[Currency]]="EUR millions",INDEX($F$19:$F$22,MATCH(Table72[[#This Row],[Period]],$E$19:$E$22,0)),1)</f>
        <v>1</v>
      </c>
      <c r="O8" s="80">
        <f>Table72[[#This Row],[Revenue]]*Table72[[#This Row],[FX Rate to USD]]</f>
        <v>11269</v>
      </c>
    </row>
    <row r="9" spans="1:15" ht="28.8" x14ac:dyDescent="0.3">
      <c r="A9" s="53" t="s">
        <v>12</v>
      </c>
      <c r="B9" s="53" t="s">
        <v>35</v>
      </c>
      <c r="C9" s="54" t="s">
        <v>16</v>
      </c>
      <c r="D9" s="80">
        <v>11097</v>
      </c>
      <c r="E9" s="80">
        <v>4469</v>
      </c>
      <c r="F9" s="80">
        <v>296</v>
      </c>
      <c r="G9" s="80">
        <v>211</v>
      </c>
      <c r="H9" s="80">
        <v>23362</v>
      </c>
      <c r="I9" s="80">
        <v>10566</v>
      </c>
      <c r="J9" s="80">
        <v>36579</v>
      </c>
      <c r="K9" s="80">
        <v>23366</v>
      </c>
      <c r="L9" s="80">
        <v>463</v>
      </c>
      <c r="M9" s="80">
        <v>7464</v>
      </c>
      <c r="N9" s="82">
        <f>IF(Table72[[#This Row],[Currency]]="EUR millions",INDEX($F$19:$F$22,MATCH(Table72[[#This Row],[Period]],$E$19:$E$22,0)),1)</f>
        <v>1</v>
      </c>
      <c r="O9" s="80">
        <f>Table72[[#This Row],[Revenue]]*Table72[[#This Row],[FX Rate to USD]]</f>
        <v>11097</v>
      </c>
    </row>
    <row r="10" spans="1:15" ht="28.8" x14ac:dyDescent="0.3">
      <c r="A10" s="55" t="s">
        <v>13</v>
      </c>
      <c r="B10" s="55" t="s">
        <v>32</v>
      </c>
      <c r="C10" s="56" t="s">
        <v>17</v>
      </c>
      <c r="D10" s="81">
        <v>6153</v>
      </c>
      <c r="E10" s="81">
        <v>3205</v>
      </c>
      <c r="F10" s="81">
        <v>610</v>
      </c>
      <c r="G10" s="81">
        <v>429</v>
      </c>
      <c r="H10" s="81">
        <v>11521</v>
      </c>
      <c r="I10" s="81">
        <v>8942</v>
      </c>
      <c r="J10" s="81">
        <v>20091</v>
      </c>
      <c r="K10" s="81">
        <v>14004</v>
      </c>
      <c r="L10" s="81">
        <v>-934</v>
      </c>
      <c r="M10" s="81">
        <v>1432</v>
      </c>
      <c r="N10" s="83">
        <f>IF(Table72[[#This Row],[Currency]]="EUR millions",INDEX($F$19:$F$22,MATCH(Table72[[#This Row],[Period]],$E$19:$E$22,0)),1)</f>
        <v>1.051607</v>
      </c>
      <c r="O10" s="81">
        <f>Table72[[#This Row],[Revenue]]*Table72[[#This Row],[FX Rate to USD]]</f>
        <v>6470.5378709999995</v>
      </c>
    </row>
    <row r="11" spans="1:15" ht="28.8" x14ac:dyDescent="0.3">
      <c r="A11" s="55" t="s">
        <v>13</v>
      </c>
      <c r="B11" s="55" t="s">
        <v>33</v>
      </c>
      <c r="C11" s="56" t="s">
        <v>17</v>
      </c>
      <c r="D11" s="81">
        <v>5952</v>
      </c>
      <c r="E11" s="81">
        <v>3077</v>
      </c>
      <c r="F11" s="81">
        <v>546</v>
      </c>
      <c r="G11" s="81">
        <v>381</v>
      </c>
      <c r="H11" s="81">
        <v>11234</v>
      </c>
      <c r="I11" s="81">
        <v>8961</v>
      </c>
      <c r="J11" s="81">
        <v>19499</v>
      </c>
      <c r="K11" s="81">
        <v>13945</v>
      </c>
      <c r="L11" s="81">
        <v>18</v>
      </c>
      <c r="M11" s="81">
        <v>768</v>
      </c>
      <c r="N11" s="83">
        <f>IF(Table72[[#This Row],[Currency]]="EUR millions",INDEX($F$19:$F$22,MATCH(Table72[[#This Row],[Period]],$E$19:$E$22,0)),1)</f>
        <v>1.1338023333333334</v>
      </c>
      <c r="O11" s="81">
        <f>Table72[[#This Row],[Revenue]]*Table72[[#This Row],[FX Rate to USD]]</f>
        <v>6748.3914880000002</v>
      </c>
    </row>
    <row r="12" spans="1:15" ht="28.8" x14ac:dyDescent="0.3">
      <c r="A12" s="55" t="s">
        <v>13</v>
      </c>
      <c r="B12" s="55" t="s">
        <v>34</v>
      </c>
      <c r="C12" s="56" t="s">
        <v>17</v>
      </c>
      <c r="D12" s="81">
        <v>6630</v>
      </c>
      <c r="E12" s="81">
        <v>3435</v>
      </c>
      <c r="F12" s="81">
        <v>736</v>
      </c>
      <c r="G12" s="81">
        <v>485</v>
      </c>
      <c r="H12" s="81">
        <v>11967</v>
      </c>
      <c r="I12" s="81">
        <v>9133</v>
      </c>
      <c r="J12" s="81">
        <v>20147</v>
      </c>
      <c r="K12" s="81">
        <v>14068</v>
      </c>
      <c r="L12" s="81">
        <v>641</v>
      </c>
      <c r="M12" s="81">
        <v>1030</v>
      </c>
      <c r="N12" s="83">
        <f>IF(Table72[[#This Row],[Currency]]="EUR millions",INDEX($F$19:$F$22,MATCH(Table72[[#This Row],[Period]],$E$19:$E$22,0)),1)</f>
        <v>1.169219</v>
      </c>
      <c r="O12" s="81">
        <f>Table72[[#This Row],[Revenue]]*Table72[[#This Row],[FX Rate to USD]]</f>
        <v>7751.9219700000003</v>
      </c>
    </row>
    <row r="13" spans="1:15" ht="28.8" x14ac:dyDescent="0.3">
      <c r="A13" s="55" t="s">
        <v>13</v>
      </c>
      <c r="B13" s="55" t="s">
        <v>35</v>
      </c>
      <c r="C13" s="56" t="s">
        <v>17</v>
      </c>
      <c r="D13" s="81">
        <v>6076</v>
      </c>
      <c r="E13" s="81">
        <v>3088</v>
      </c>
      <c r="F13" s="81">
        <v>164</v>
      </c>
      <c r="G13" s="81">
        <v>91</v>
      </c>
      <c r="H13" s="81">
        <v>11977</v>
      </c>
      <c r="I13" s="81">
        <v>9094</v>
      </c>
      <c r="J13" s="81">
        <v>20262</v>
      </c>
      <c r="K13" s="81">
        <v>14137</v>
      </c>
      <c r="L13" s="81">
        <v>1026</v>
      </c>
      <c r="M13" s="81">
        <v>1617</v>
      </c>
      <c r="N13" s="83">
        <f>IF(Table72[[#This Row],[Currency]]="EUR millions",INDEX($F$19:$F$22,MATCH(Table72[[#This Row],[Period]],$E$19:$E$22,0)),1)</f>
        <v>1.1641510000000002</v>
      </c>
      <c r="O13" s="81">
        <f>Table72[[#This Row],[Revenue]]*Table72[[#This Row],[FX Rate to USD]]</f>
        <v>7073.3814760000014</v>
      </c>
    </row>
    <row r="16" spans="1:15" x14ac:dyDescent="0.3">
      <c r="A16" s="9" t="s">
        <v>85</v>
      </c>
    </row>
    <row r="17" spans="1:6" x14ac:dyDescent="0.3">
      <c r="A17" s="87" t="s">
        <v>86</v>
      </c>
    </row>
    <row r="18" spans="1:6" x14ac:dyDescent="0.3">
      <c r="A18" s="9" t="s">
        <v>87</v>
      </c>
      <c r="B18" s="9" t="s">
        <v>88</v>
      </c>
      <c r="C18" s="9" t="s">
        <v>89</v>
      </c>
      <c r="E18" s="9" t="s">
        <v>88</v>
      </c>
      <c r="F18" s="9" t="s">
        <v>90</v>
      </c>
    </row>
    <row r="19" spans="1:6" x14ac:dyDescent="0.3">
      <c r="A19" t="s">
        <v>91</v>
      </c>
      <c r="B19" t="s">
        <v>32</v>
      </c>
      <c r="C19" s="85">
        <v>1.034781</v>
      </c>
      <c r="E19" t="s">
        <v>32</v>
      </c>
      <c r="F19" s="86">
        <f>AVERAGEIF($B$19:$B$30,E19,$C$19:$C$30)</f>
        <v>1.051607</v>
      </c>
    </row>
    <row r="20" spans="1:6" x14ac:dyDescent="0.3">
      <c r="A20" t="s">
        <v>92</v>
      </c>
      <c r="B20" t="s">
        <v>32</v>
      </c>
      <c r="C20" s="85">
        <v>1.0411820000000001</v>
      </c>
      <c r="E20" t="s">
        <v>33</v>
      </c>
      <c r="F20" s="86">
        <f>AVERAGEIF($B$19:$B$30,E20,$C$19:$C$30)</f>
        <v>1.1338023333333334</v>
      </c>
    </row>
    <row r="21" spans="1:6" x14ac:dyDescent="0.3">
      <c r="A21" t="s">
        <v>93</v>
      </c>
      <c r="B21" t="s">
        <v>32</v>
      </c>
      <c r="C21" s="85">
        <v>1.0788580000000001</v>
      </c>
      <c r="E21" t="s">
        <v>34</v>
      </c>
      <c r="F21" s="86">
        <f>AVERAGEIF($B$19:$B$30,E21,$C$19:$C$30)</f>
        <v>1.169219</v>
      </c>
    </row>
    <row r="22" spans="1:6" x14ac:dyDescent="0.3">
      <c r="A22" t="s">
        <v>94</v>
      </c>
      <c r="B22" t="s">
        <v>33</v>
      </c>
      <c r="C22" s="85">
        <v>1.122069</v>
      </c>
      <c r="E22" t="s">
        <v>35</v>
      </c>
      <c r="F22" s="86">
        <f>AVERAGEIF($B$19:$B$30,E22,$C$19:$C$30)</f>
        <v>1.1641510000000002</v>
      </c>
    </row>
    <row r="23" spans="1:6" x14ac:dyDescent="0.3">
      <c r="A23" t="s">
        <v>95</v>
      </c>
      <c r="B23" t="s">
        <v>33</v>
      </c>
      <c r="C23" s="85">
        <v>1.12757</v>
      </c>
    </row>
    <row r="24" spans="1:6" x14ac:dyDescent="0.3">
      <c r="A24" t="s">
        <v>96</v>
      </c>
      <c r="B24" t="s">
        <v>33</v>
      </c>
      <c r="C24" s="85">
        <v>1.1517679999999999</v>
      </c>
    </row>
    <row r="25" spans="1:6" x14ac:dyDescent="0.3">
      <c r="A25" t="s">
        <v>97</v>
      </c>
      <c r="B25" t="s">
        <v>34</v>
      </c>
      <c r="C25" s="85">
        <v>1.169807</v>
      </c>
    </row>
    <row r="26" spans="1:6" x14ac:dyDescent="0.3">
      <c r="A26" t="s">
        <v>98</v>
      </c>
      <c r="B26" t="s">
        <v>34</v>
      </c>
      <c r="C26" s="85">
        <v>1.1646840000000001</v>
      </c>
    </row>
    <row r="27" spans="1:6" x14ac:dyDescent="0.3">
      <c r="A27" t="s">
        <v>99</v>
      </c>
      <c r="B27" t="s">
        <v>34</v>
      </c>
      <c r="C27" s="85">
        <v>1.1731659999999999</v>
      </c>
    </row>
    <row r="28" spans="1:6" x14ac:dyDescent="0.3">
      <c r="A28" t="s">
        <v>100</v>
      </c>
      <c r="B28" t="s">
        <v>35</v>
      </c>
      <c r="C28" s="85">
        <v>1.164811</v>
      </c>
    </row>
    <row r="29" spans="1:6" x14ac:dyDescent="0.3">
      <c r="A29" t="s">
        <v>101</v>
      </c>
      <c r="B29" t="s">
        <v>35</v>
      </c>
      <c r="C29" s="85">
        <v>1.1564430000000001</v>
      </c>
    </row>
    <row r="30" spans="1:6" x14ac:dyDescent="0.3">
      <c r="A30" t="s">
        <v>102</v>
      </c>
      <c r="B30" t="s">
        <v>35</v>
      </c>
      <c r="C30" s="85">
        <v>1.1711990000000001</v>
      </c>
    </row>
    <row r="32" spans="1:6" x14ac:dyDescent="0.3">
      <c r="A32" s="9" t="s">
        <v>103</v>
      </c>
    </row>
    <row r="33" spans="1:1" x14ac:dyDescent="0.3">
      <c r="A33" s="87" t="s">
        <v>104</v>
      </c>
    </row>
    <row r="34" spans="1:1" x14ac:dyDescent="0.3">
      <c r="A34" s="87" t="s">
        <v>105</v>
      </c>
    </row>
    <row r="35" spans="1:1" x14ac:dyDescent="0.3">
      <c r="A35" s="87" t="s">
        <v>106</v>
      </c>
    </row>
    <row r="36" spans="1:1" x14ac:dyDescent="0.3">
      <c r="A36" s="87" t="s">
        <v>107</v>
      </c>
    </row>
  </sheetData>
  <pageMargins left="0.7" right="0.7" top="0.75" bottom="0.75" header="0.3" footer="0.3"/>
  <pageSetup orientation="portrait"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5AF32-3957-431F-B41C-844F259461AF}">
  <sheetPr published="0"/>
  <dimension ref="A1:K19"/>
  <sheetViews>
    <sheetView workbookViewId="0">
      <selection activeCell="F13" sqref="F13"/>
    </sheetView>
  </sheetViews>
  <sheetFormatPr defaultRowHeight="14.4" x14ac:dyDescent="0.3"/>
  <cols>
    <col min="1" max="1" width="11.5546875" bestFit="1" customWidth="1"/>
    <col min="2" max="2" width="10.21875" bestFit="1" customWidth="1"/>
    <col min="3" max="3" width="11.88671875" bestFit="1" customWidth="1"/>
    <col min="4" max="4" width="19.5546875" customWidth="1"/>
    <col min="5" max="5" width="17.77734375" customWidth="1"/>
    <col min="6" max="6" width="23.5546875" bestFit="1" customWidth="1"/>
    <col min="7" max="7" width="15.77734375" bestFit="1" customWidth="1"/>
    <col min="8" max="8" width="16.33203125" customWidth="1"/>
    <col min="9" max="9" width="27.109375" customWidth="1"/>
    <col min="10" max="10" width="27.33203125" bestFit="1" customWidth="1"/>
    <col min="11" max="11" width="21.77734375" bestFit="1" customWidth="1"/>
    <col min="12" max="12" width="10.77734375" bestFit="1" customWidth="1"/>
    <col min="13" max="13" width="14" bestFit="1" customWidth="1"/>
  </cols>
  <sheetData>
    <row r="1" spans="1:11" ht="15" thickBot="1" x14ac:dyDescent="0.35">
      <c r="A1" s="28" t="s">
        <v>1</v>
      </c>
      <c r="B1" s="28" t="s">
        <v>2</v>
      </c>
      <c r="C1" s="28" t="s">
        <v>3</v>
      </c>
      <c r="D1" s="28" t="s">
        <v>19</v>
      </c>
      <c r="E1" s="28" t="s">
        <v>37</v>
      </c>
      <c r="F1" s="28" t="s">
        <v>23</v>
      </c>
      <c r="G1" s="28" t="s">
        <v>20</v>
      </c>
      <c r="H1" s="28" t="s">
        <v>21</v>
      </c>
      <c r="I1" s="28" t="s">
        <v>22</v>
      </c>
      <c r="J1" s="28" t="s">
        <v>36</v>
      </c>
    </row>
    <row r="2" spans="1:11" x14ac:dyDescent="0.3">
      <c r="A2" s="29" t="s">
        <v>12</v>
      </c>
      <c r="B2" s="29" t="s">
        <v>15</v>
      </c>
      <c r="C2" s="30" t="s">
        <v>16</v>
      </c>
      <c r="D2" s="31">
        <f>Table7[[#This Row],[Gross Profit]]/Table7[[#This Row],[Revenue]]</f>
        <v>0.42175767918088736</v>
      </c>
      <c r="E2" s="31">
        <f>Table7[[#This Row],[Operating Income/EBIT]]/Table7[[#This Row],[Revenue]]</f>
        <v>7.7133105802047783E-2</v>
      </c>
      <c r="F2" s="31">
        <f>Table7[[#This Row],[Net Income]]/Table7[[#This Row],[Revenue]]</f>
        <v>6.2030716723549491E-2</v>
      </c>
      <c r="G2" s="32">
        <f>Table7[[#This Row],[Current Assets]]/Table7[[#This Row],[Current Liabilities]]</f>
        <v>2.1902667033269179</v>
      </c>
      <c r="H2" s="31">
        <f>Table7[[#This Row],[Total Liabilities]]/Table7[[#This Row],[Total Assets]]</f>
        <v>0.63925644184925268</v>
      </c>
      <c r="I2" s="31">
        <f>Table7[[#This Row],[Operating Cash Flow]]/Table7[[#This Row],[Revenue]]</f>
        <v>1.89419795221843E-2</v>
      </c>
      <c r="J2" s="31">
        <f>Table7[[#This Row],[Ending Cash]]/Table7[[#This Row],[Revenue]]</f>
        <v>0.59931740614334472</v>
      </c>
    </row>
    <row r="3" spans="1:11" x14ac:dyDescent="0.3">
      <c r="A3" s="35" t="s">
        <v>13</v>
      </c>
      <c r="B3" s="35" t="s">
        <v>15</v>
      </c>
      <c r="C3" s="36" t="s">
        <v>17</v>
      </c>
      <c r="D3" s="33">
        <f>Table7[[#This Row],[Gross Profit]]/Table7[[#This Row],[Revenue]]</f>
        <v>0.51107402912621358</v>
      </c>
      <c r="E3" s="33">
        <f>Table7[[#This Row],[Operating Income/EBIT]]/Table7[[#This Row],[Revenue]]</f>
        <v>0.10694781553398058</v>
      </c>
      <c r="F3" s="33">
        <f>Table7[[#This Row],[Net Income]]/Table7[[#This Row],[Revenue]]</f>
        <v>7.3877427184466021E-2</v>
      </c>
      <c r="G3" s="34">
        <f>Table7[[#This Row],[Current Assets]]/Table7[[#This Row],[Current Liabilities]]</f>
        <v>1.3512323943661972</v>
      </c>
      <c r="H3" s="33">
        <f>Table7[[#This Row],[Total Liabilities]]/Table7[[#This Row],[Total Assets]]</f>
        <v>0.68959616700889803</v>
      </c>
      <c r="I3" s="33">
        <f>Table7[[#This Row],[Operating Cash Flow]]/Table7[[#This Row],[Revenue]]</f>
        <v>-5.3094660194174755E-2</v>
      </c>
      <c r="J3" s="33">
        <f>Table7[[#This Row],[Ending Cash]]/Table7[[#This Row],[Revenue]]</f>
        <v>0.13243325242718446</v>
      </c>
    </row>
    <row r="11" spans="1:11" ht="15" thickBot="1" x14ac:dyDescent="0.35">
      <c r="A11" s="15" t="s">
        <v>1</v>
      </c>
      <c r="B11" s="16" t="s">
        <v>2</v>
      </c>
      <c r="C11" s="16" t="s">
        <v>3</v>
      </c>
      <c r="D11" s="16" t="s">
        <v>0</v>
      </c>
      <c r="E11" s="16" t="s">
        <v>19</v>
      </c>
      <c r="F11" s="16" t="s">
        <v>37</v>
      </c>
      <c r="G11" s="16" t="s">
        <v>23</v>
      </c>
      <c r="H11" s="16" t="s">
        <v>20</v>
      </c>
      <c r="I11" s="16" t="s">
        <v>21</v>
      </c>
      <c r="J11" s="16" t="s">
        <v>22</v>
      </c>
      <c r="K11" s="17" t="s">
        <v>36</v>
      </c>
    </row>
    <row r="12" spans="1:11" x14ac:dyDescent="0.3">
      <c r="A12" s="14" t="s">
        <v>12</v>
      </c>
      <c r="B12" s="5" t="s">
        <v>32</v>
      </c>
      <c r="C12" s="13" t="s">
        <v>16</v>
      </c>
      <c r="D12" s="58">
        <v>11589</v>
      </c>
      <c r="E12" s="19">
        <f>Clean_Financials!E6/Clean_Financials!D6</f>
        <v>0.45361981189058592</v>
      </c>
      <c r="F12" s="19">
        <f>Clean_Financials!F6/Clean_Financials!D6</f>
        <v>0.10906894468892915</v>
      </c>
      <c r="G12" s="19">
        <f>Clean_Financials!G6/Clean_Financials!D6</f>
        <v>9.0689446889291564E-2</v>
      </c>
      <c r="H12" s="22">
        <f>Clean_Financials!H6/Clean_Financials!I6</f>
        <v>2.3560406473466315</v>
      </c>
      <c r="I12" s="19">
        <f>Clean_Financials!K6/Clean_Financials!J6</f>
        <v>0.63176380489608364</v>
      </c>
      <c r="J12" s="19">
        <f>Clean_Financials!L6/Clean_Financials!D6</f>
        <v>3.3997756493226339E-2</v>
      </c>
      <c r="K12" s="25">
        <f>Clean_Financials!M6/Clean_Financials!D6</f>
        <v>0.73215980671326253</v>
      </c>
    </row>
    <row r="13" spans="1:11" x14ac:dyDescent="0.3">
      <c r="A13" s="14" t="s">
        <v>12</v>
      </c>
      <c r="B13" s="37" t="s">
        <v>33</v>
      </c>
      <c r="C13" s="38" t="s">
        <v>16</v>
      </c>
      <c r="D13" s="59">
        <v>12354</v>
      </c>
      <c r="E13" s="39">
        <f>Clean_Financials!E7/Clean_Financials!D7</f>
        <v>0.43621499109600131</v>
      </c>
      <c r="F13" s="40">
        <f>Clean_Financials!F7/Clean_Financials!D7</f>
        <v>0.11267605633802817</v>
      </c>
      <c r="G13" s="40">
        <f>Clean_Financials!G7/Clean_Financials!D7</f>
        <v>9.4139549943338188E-2</v>
      </c>
      <c r="H13" s="41">
        <f>Clean_Financials!H7/Clean_Financials!I7</f>
        <v>2.2212342166103505</v>
      </c>
      <c r="I13" s="40">
        <f>Clean_Financials!K7/Clean_Financials!J7</f>
        <v>0.63020627519165417</v>
      </c>
      <c r="J13" s="40">
        <f>Clean_Financials!L7/Clean_Financials!D7</f>
        <v>8.4911769467378981E-2</v>
      </c>
      <c r="K13" s="42">
        <f>Clean_Financials!M7/Clean_Financials!D7</f>
        <v>0.64586368787437265</v>
      </c>
    </row>
    <row r="14" spans="1:11" x14ac:dyDescent="0.3">
      <c r="A14" s="14" t="s">
        <v>12</v>
      </c>
      <c r="B14" s="43" t="s">
        <v>34</v>
      </c>
      <c r="C14" s="44" t="s">
        <v>16</v>
      </c>
      <c r="D14" s="60">
        <v>11269</v>
      </c>
      <c r="E14" s="39">
        <f>Clean_Financials!E8/Clean_Financials!D8</f>
        <v>0.41485491170467653</v>
      </c>
      <c r="F14" s="40">
        <f>Clean_Financials!F8/Clean_Financials!D8</f>
        <v>7.3298429319371722E-2</v>
      </c>
      <c r="G14" s="40">
        <f>Clean_Financials!G8/Clean_Financials!D8</f>
        <v>7.045878072588517E-2</v>
      </c>
      <c r="H14" s="41">
        <f>Clean_Financials!H8/Clean_Financials!I8</f>
        <v>2.1927292167869554</v>
      </c>
      <c r="I14" s="40">
        <f>Clean_Financials!K8/Clean_Financials!J8</f>
        <v>0.62937581033524725</v>
      </c>
      <c r="J14" s="40">
        <f>Clean_Financials!L8/Clean_Financials!D8</f>
        <v>0.15902032123524715</v>
      </c>
      <c r="K14" s="42">
        <f>Clean_Financials!M8/Clean_Financials!D8</f>
        <v>0.76324429851805842</v>
      </c>
    </row>
    <row r="15" spans="1:11" x14ac:dyDescent="0.3">
      <c r="A15" s="14" t="s">
        <v>12</v>
      </c>
      <c r="B15" s="37" t="s">
        <v>35</v>
      </c>
      <c r="C15" s="38" t="s">
        <v>16</v>
      </c>
      <c r="D15" s="59">
        <v>11097</v>
      </c>
      <c r="E15" s="39">
        <f>Clean_Financials!E9/Clean_Financials!D9</f>
        <v>0.40272145624943678</v>
      </c>
      <c r="F15" s="40">
        <f>Clean_Financials!F9/Clean_Financials!D9</f>
        <v>2.6673875822294312E-2</v>
      </c>
      <c r="G15" s="40">
        <f>Clean_Financials!G9/Clean_Financials!D9</f>
        <v>1.9014147967919257E-2</v>
      </c>
      <c r="H15" s="41">
        <f>Clean_Financials!H9/Clean_Financials!I9</f>
        <v>2.2110543251940187</v>
      </c>
      <c r="I15" s="40">
        <f>Clean_Financials!K9/Clean_Financials!J9</f>
        <v>0.6387818147024249</v>
      </c>
      <c r="J15" s="40">
        <f>Clean_Financials!L9/Clean_Financials!D9</f>
        <v>4.1722988195007658E-2</v>
      </c>
      <c r="K15" s="42">
        <f>Clean_Financials!M9/Clean_Financials!D9</f>
        <v>0.67261422005947558</v>
      </c>
    </row>
    <row r="16" spans="1:11" x14ac:dyDescent="0.3">
      <c r="A16" s="20" t="s">
        <v>13</v>
      </c>
      <c r="B16" s="18" t="s">
        <v>32</v>
      </c>
      <c r="C16" s="45" t="s">
        <v>17</v>
      </c>
      <c r="D16" s="61">
        <v>6153</v>
      </c>
      <c r="E16" s="46">
        <f>Clean_Financials!E10/Clean_Financials!D10</f>
        <v>0.52088412156671537</v>
      </c>
      <c r="F16" s="20">
        <f>Clean_Financials!F10/Clean_Financials!D10</f>
        <v>9.9138631561839746E-2</v>
      </c>
      <c r="G16" s="20">
        <f>Clean_Financials!G10/Clean_Financials!D10</f>
        <v>6.9722086786933202E-2</v>
      </c>
      <c r="H16" s="23">
        <f>Clean_Financials!H10/Clean_Financials!I10</f>
        <v>1.2884142250055917</v>
      </c>
      <c r="I16" s="20">
        <f>Clean_Financials!K10/Clean_Financials!J10</f>
        <v>0.69702852023294015</v>
      </c>
      <c r="J16" s="20">
        <f>Clean_Financials!L10/Clean_Financials!D10</f>
        <v>-0.15179587193239069</v>
      </c>
      <c r="K16" s="26">
        <f>Clean_Financials!M10/Clean_Financials!D10</f>
        <v>0.23273200065008939</v>
      </c>
    </row>
    <row r="17" spans="1:11" x14ac:dyDescent="0.3">
      <c r="A17" s="20" t="s">
        <v>13</v>
      </c>
      <c r="B17" s="47" t="s">
        <v>33</v>
      </c>
      <c r="C17" s="48" t="s">
        <v>17</v>
      </c>
      <c r="D17" s="62">
        <v>5952</v>
      </c>
      <c r="E17" s="46">
        <f>Clean_Financials!E11/Clean_Financials!D11</f>
        <v>0.51696908602150538</v>
      </c>
      <c r="F17" s="20">
        <f>Clean_Financials!F11/Clean_Financials!D11</f>
        <v>9.1733870967741937E-2</v>
      </c>
      <c r="G17" s="20">
        <f>Clean_Financials!G11/Clean_Financials!D11</f>
        <v>6.4012096774193547E-2</v>
      </c>
      <c r="H17" s="23">
        <f>Clean_Financials!H11/Clean_Financials!I11</f>
        <v>1.2536547260350408</v>
      </c>
      <c r="I17" s="20">
        <f>Clean_Financials!K11/Clean_Financials!J11</f>
        <v>0.71516488025026925</v>
      </c>
      <c r="J17" s="20">
        <f>Clean_Financials!L11/Clean_Financials!D11</f>
        <v>3.0241935483870967E-3</v>
      </c>
      <c r="K17" s="26">
        <f>Clean_Financials!M11/Clean_Financials!D11</f>
        <v>0.12903225806451613</v>
      </c>
    </row>
    <row r="18" spans="1:11" x14ac:dyDescent="0.3">
      <c r="A18" s="20" t="s">
        <v>13</v>
      </c>
      <c r="B18" s="18" t="s">
        <v>34</v>
      </c>
      <c r="C18" s="45" t="s">
        <v>17</v>
      </c>
      <c r="D18" s="61">
        <v>6630</v>
      </c>
      <c r="E18" s="46">
        <f>Clean_Financials!E12/Clean_Financials!D12</f>
        <v>0.51809954751131226</v>
      </c>
      <c r="F18" s="20">
        <f>Clean_Financials!F12/Clean_Financials!D12</f>
        <v>0.11101055806938159</v>
      </c>
      <c r="G18" s="20">
        <f>Clean_Financials!G12/Clean_Financials!D12</f>
        <v>7.3152337858220215E-2</v>
      </c>
      <c r="H18" s="23">
        <f>Clean_Financials!H12/Clean_Financials!I12</f>
        <v>1.3103032957407206</v>
      </c>
      <c r="I18" s="20">
        <f>Clean_Financials!K12/Clean_Financials!J12</f>
        <v>0.69826773216856108</v>
      </c>
      <c r="J18" s="20">
        <f>Clean_Financials!L12/Clean_Financials!D12</f>
        <v>9.6681749622926097E-2</v>
      </c>
      <c r="K18" s="26">
        <f>Clean_Financials!M12/Clean_Financials!D12</f>
        <v>0.15535444947209653</v>
      </c>
    </row>
    <row r="19" spans="1:11" x14ac:dyDescent="0.3">
      <c r="A19" s="20" t="s">
        <v>13</v>
      </c>
      <c r="B19" s="49" t="s">
        <v>35</v>
      </c>
      <c r="C19" s="50" t="s">
        <v>17</v>
      </c>
      <c r="D19" s="63">
        <v>6076</v>
      </c>
      <c r="E19" s="51">
        <f>Clean_Financials!E13/Clean_Financials!D13</f>
        <v>0.50822909809084926</v>
      </c>
      <c r="F19" s="21">
        <f>Clean_Financials!F13/Clean_Financials!D13</f>
        <v>2.6991441737985518E-2</v>
      </c>
      <c r="G19" s="21">
        <f>Clean_Financials!G13/Clean_Financials!D13</f>
        <v>1.4976958525345621E-2</v>
      </c>
      <c r="H19" s="24">
        <f>Clean_Financials!H13/Clean_Financials!I13</f>
        <v>1.3170222124477677</v>
      </c>
      <c r="I19" s="21">
        <f>Clean_Financials!K13/Clean_Financials!J13</f>
        <v>0.69770999901293063</v>
      </c>
      <c r="J19" s="21">
        <f>Clean_Financials!L13/Clean_Financials!D13</f>
        <v>0.16886109282422646</v>
      </c>
      <c r="K19" s="27">
        <f>Clean_Financials!M13/Clean_Financials!D13</f>
        <v>0.2661290322580645</v>
      </c>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DFD81-A517-40A8-9D95-2929EF05B94C}">
  <sheetPr published="0"/>
  <dimension ref="A3:C8"/>
  <sheetViews>
    <sheetView topLeftCell="A5" workbookViewId="0">
      <selection activeCell="B5" sqref="B5"/>
    </sheetView>
  </sheetViews>
  <sheetFormatPr defaultRowHeight="14.4" x14ac:dyDescent="0.3"/>
  <cols>
    <col min="1" max="1" width="21.33203125" bestFit="1" customWidth="1"/>
    <col min="2" max="2" width="15.5546875" bestFit="1" customWidth="1"/>
    <col min="3" max="3" width="6.5546875" bestFit="1" customWidth="1"/>
    <col min="4" max="5" width="6" bestFit="1" customWidth="1"/>
    <col min="6" max="6" width="11" bestFit="1" customWidth="1"/>
  </cols>
  <sheetData>
    <row r="3" spans="1:3" x14ac:dyDescent="0.3">
      <c r="A3" s="6" t="s">
        <v>25</v>
      </c>
      <c r="B3" s="6" t="s">
        <v>27</v>
      </c>
    </row>
    <row r="4" spans="1:3" x14ac:dyDescent="0.3">
      <c r="A4" s="6" t="s">
        <v>24</v>
      </c>
      <c r="B4" t="s">
        <v>13</v>
      </c>
      <c r="C4" t="s">
        <v>12</v>
      </c>
    </row>
    <row r="5" spans="1:3" x14ac:dyDescent="0.3">
      <c r="A5" s="7" t="s">
        <v>32</v>
      </c>
      <c r="B5" s="84">
        <v>6470.5378709999995</v>
      </c>
      <c r="C5" s="84">
        <v>11589</v>
      </c>
    </row>
    <row r="6" spans="1:3" x14ac:dyDescent="0.3">
      <c r="A6" s="7" t="s">
        <v>33</v>
      </c>
      <c r="B6" s="84">
        <v>6748.3914880000002</v>
      </c>
      <c r="C6" s="84">
        <v>12354</v>
      </c>
    </row>
    <row r="7" spans="1:3" x14ac:dyDescent="0.3">
      <c r="A7" s="7" t="s">
        <v>34</v>
      </c>
      <c r="B7" s="84">
        <v>7751.9219700000003</v>
      </c>
      <c r="C7" s="84">
        <v>11269</v>
      </c>
    </row>
    <row r="8" spans="1:3" x14ac:dyDescent="0.3">
      <c r="A8" s="7" t="s">
        <v>35</v>
      </c>
      <c r="B8" s="84">
        <v>7073.3814760000014</v>
      </c>
      <c r="C8" s="84">
        <v>11097</v>
      </c>
    </row>
  </sheetData>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E2718-3F19-484C-8027-03989EE69BA6}">
  <sheetPr published="0"/>
  <dimension ref="A3:C8"/>
  <sheetViews>
    <sheetView workbookViewId="0">
      <selection activeCell="D13" sqref="D13"/>
    </sheetView>
  </sheetViews>
  <sheetFormatPr defaultRowHeight="14.4" x14ac:dyDescent="0.3"/>
  <cols>
    <col min="1" max="1" width="25.77734375" bestFit="1" customWidth="1"/>
    <col min="2" max="2" width="15.5546875" bestFit="1" customWidth="1"/>
    <col min="3" max="3" width="7.109375" bestFit="1" customWidth="1"/>
    <col min="4" max="4" width="11" bestFit="1" customWidth="1"/>
    <col min="5" max="5" width="7.109375" bestFit="1" customWidth="1"/>
    <col min="6" max="6" width="11" bestFit="1" customWidth="1"/>
  </cols>
  <sheetData>
    <row r="3" spans="1:3" x14ac:dyDescent="0.3">
      <c r="A3" s="6" t="s">
        <v>28</v>
      </c>
      <c r="B3" s="6" t="s">
        <v>27</v>
      </c>
    </row>
    <row r="4" spans="1:3" x14ac:dyDescent="0.3">
      <c r="A4" s="6" t="s">
        <v>24</v>
      </c>
      <c r="B4" t="s">
        <v>13</v>
      </c>
      <c r="C4" t="s">
        <v>12</v>
      </c>
    </row>
    <row r="5" spans="1:3" x14ac:dyDescent="0.3">
      <c r="A5" s="7" t="s">
        <v>32</v>
      </c>
      <c r="B5" s="52">
        <v>0.52088412156671537</v>
      </c>
      <c r="C5" s="52">
        <v>0.45361981189058592</v>
      </c>
    </row>
    <row r="6" spans="1:3" x14ac:dyDescent="0.3">
      <c r="A6" s="7" t="s">
        <v>33</v>
      </c>
      <c r="B6" s="52">
        <v>0.51696908602150538</v>
      </c>
      <c r="C6" s="52">
        <v>0.43621499109600131</v>
      </c>
    </row>
    <row r="7" spans="1:3" x14ac:dyDescent="0.3">
      <c r="A7" s="7" t="s">
        <v>34</v>
      </c>
      <c r="B7" s="52">
        <v>0.51809954751131226</v>
      </c>
      <c r="C7" s="52">
        <v>0.41485491170467653</v>
      </c>
    </row>
    <row r="8" spans="1:3" x14ac:dyDescent="0.3">
      <c r="A8" s="7" t="s">
        <v>35</v>
      </c>
      <c r="B8" s="52">
        <v>0.50822909809084926</v>
      </c>
      <c r="C8" s="52">
        <v>0.40272145624943678</v>
      </c>
    </row>
  </sheetData>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C52E8-5C8F-45D3-9D16-B769FD1E0D7D}">
  <sheetPr published="0"/>
  <dimension ref="A3:C8"/>
  <sheetViews>
    <sheetView workbookViewId="0">
      <selection activeCell="B5" sqref="B5"/>
    </sheetView>
  </sheetViews>
  <sheetFormatPr defaultRowHeight="14.4" x14ac:dyDescent="0.3"/>
  <cols>
    <col min="1" max="1" width="24.21875" bestFit="1" customWidth="1"/>
    <col min="2" max="2" width="15.5546875" bestFit="1" customWidth="1"/>
    <col min="3" max="3" width="7.109375" bestFit="1" customWidth="1"/>
    <col min="4" max="4" width="11" bestFit="1" customWidth="1"/>
    <col min="5" max="5" width="6.109375" bestFit="1" customWidth="1"/>
    <col min="6" max="6" width="11" bestFit="1" customWidth="1"/>
  </cols>
  <sheetData>
    <row r="3" spans="1:3" x14ac:dyDescent="0.3">
      <c r="A3" s="6" t="s">
        <v>38</v>
      </c>
      <c r="B3" s="6" t="s">
        <v>27</v>
      </c>
    </row>
    <row r="4" spans="1:3" x14ac:dyDescent="0.3">
      <c r="A4" s="6" t="s">
        <v>24</v>
      </c>
      <c r="B4" t="s">
        <v>13</v>
      </c>
      <c r="C4" t="s">
        <v>12</v>
      </c>
    </row>
    <row r="5" spans="1:3" x14ac:dyDescent="0.3">
      <c r="A5" s="7" t="s">
        <v>32</v>
      </c>
      <c r="B5" s="52">
        <v>9.9138631561839746E-2</v>
      </c>
      <c r="C5" s="52">
        <v>0.10906894468892915</v>
      </c>
    </row>
    <row r="6" spans="1:3" x14ac:dyDescent="0.3">
      <c r="A6" s="7" t="s">
        <v>33</v>
      </c>
      <c r="B6" s="52">
        <v>9.1733870967741937E-2</v>
      </c>
      <c r="C6" s="52">
        <v>0.11267605633802817</v>
      </c>
    </row>
    <row r="7" spans="1:3" x14ac:dyDescent="0.3">
      <c r="A7" s="7" t="s">
        <v>34</v>
      </c>
      <c r="B7" s="52">
        <v>0.11101055806938159</v>
      </c>
      <c r="C7" s="52">
        <v>7.3298429319371722E-2</v>
      </c>
    </row>
    <row r="8" spans="1:3" x14ac:dyDescent="0.3">
      <c r="A8" s="7" t="s">
        <v>35</v>
      </c>
      <c r="B8" s="52">
        <v>2.6991441737985518E-2</v>
      </c>
      <c r="C8" s="52">
        <v>2.6673875822294312E-2</v>
      </c>
    </row>
  </sheetData>
  <pageMargins left="0.7" right="0.7" top="0.75" bottom="0.75" header="0.3" footer="0.3"/>
  <pageSetup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A97F7-2A13-4F25-BB2F-BC7E89F292A7}">
  <sheetPr published="0"/>
  <dimension ref="A3:C8"/>
  <sheetViews>
    <sheetView workbookViewId="0">
      <selection activeCell="C5" sqref="C5"/>
    </sheetView>
  </sheetViews>
  <sheetFormatPr defaultRowHeight="14.4" x14ac:dyDescent="0.3"/>
  <cols>
    <col min="1" max="1" width="23.88671875" bestFit="1" customWidth="1"/>
    <col min="2" max="2" width="15.5546875" bestFit="1" customWidth="1"/>
    <col min="3" max="3" width="6.109375" bestFit="1" customWidth="1"/>
    <col min="4" max="4" width="11" bestFit="1" customWidth="1"/>
    <col min="5" max="5" width="6.109375" bestFit="1" customWidth="1"/>
    <col min="6" max="6" width="11" bestFit="1" customWidth="1"/>
  </cols>
  <sheetData>
    <row r="3" spans="1:3" x14ac:dyDescent="0.3">
      <c r="A3" s="6" t="s">
        <v>30</v>
      </c>
      <c r="B3" s="6" t="s">
        <v>27</v>
      </c>
    </row>
    <row r="4" spans="1:3" x14ac:dyDescent="0.3">
      <c r="A4" s="6" t="s">
        <v>24</v>
      </c>
      <c r="B4" t="s">
        <v>13</v>
      </c>
      <c r="C4" t="s">
        <v>12</v>
      </c>
    </row>
    <row r="5" spans="1:3" x14ac:dyDescent="0.3">
      <c r="A5" s="7" t="s">
        <v>32</v>
      </c>
      <c r="B5" s="52">
        <v>6.9722086786933202E-2</v>
      </c>
      <c r="C5" s="52">
        <v>9.0689446889291564E-2</v>
      </c>
    </row>
    <row r="6" spans="1:3" x14ac:dyDescent="0.3">
      <c r="A6" s="7" t="s">
        <v>33</v>
      </c>
      <c r="B6" s="52">
        <v>6.4012096774193547E-2</v>
      </c>
      <c r="C6" s="52">
        <v>9.4139549943338188E-2</v>
      </c>
    </row>
    <row r="7" spans="1:3" x14ac:dyDescent="0.3">
      <c r="A7" s="7" t="s">
        <v>34</v>
      </c>
      <c r="B7" s="52">
        <v>7.3152337858220215E-2</v>
      </c>
      <c r="C7" s="52">
        <v>7.045878072588517E-2</v>
      </c>
    </row>
    <row r="8" spans="1:3" x14ac:dyDescent="0.3">
      <c r="A8" s="7" t="s">
        <v>35</v>
      </c>
      <c r="B8" s="52">
        <v>1.4976958525345621E-2</v>
      </c>
      <c r="C8" s="52">
        <v>1.9014147967919257E-2</v>
      </c>
    </row>
  </sheetData>
  <pageMargins left="0.7" right="0.7" top="0.75" bottom="0.75" header="0.3" footer="0.3"/>
  <pageSetup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648F6-EE55-4F74-9C72-0F8A5B3102ED}">
  <sheetPr published="0"/>
  <dimension ref="A3:C8"/>
  <sheetViews>
    <sheetView workbookViewId="0">
      <selection activeCell="A3" sqref="A3:C8"/>
    </sheetView>
  </sheetViews>
  <sheetFormatPr defaultRowHeight="14.4" x14ac:dyDescent="0.3"/>
  <cols>
    <col min="1" max="1" width="33.109375" bestFit="1" customWidth="1"/>
    <col min="2" max="2" width="15.5546875" bestFit="1" customWidth="1"/>
    <col min="3" max="3" width="7.109375" bestFit="1" customWidth="1"/>
    <col min="4" max="4" width="11" bestFit="1" customWidth="1"/>
    <col min="5" max="5" width="6.109375" bestFit="1" customWidth="1"/>
    <col min="6" max="6" width="11" bestFit="1" customWidth="1"/>
  </cols>
  <sheetData>
    <row r="3" spans="1:3" x14ac:dyDescent="0.3">
      <c r="A3" s="6" t="s">
        <v>26</v>
      </c>
      <c r="B3" s="6" t="s">
        <v>27</v>
      </c>
    </row>
    <row r="4" spans="1:3" x14ac:dyDescent="0.3">
      <c r="A4" s="6" t="s">
        <v>24</v>
      </c>
      <c r="B4" t="s">
        <v>13</v>
      </c>
      <c r="C4" t="s">
        <v>12</v>
      </c>
    </row>
    <row r="5" spans="1:3" x14ac:dyDescent="0.3">
      <c r="A5" s="7" t="s">
        <v>32</v>
      </c>
      <c r="B5" s="52">
        <v>-0.15179587193239069</v>
      </c>
      <c r="C5" s="52">
        <v>3.3997756493226339E-2</v>
      </c>
    </row>
    <row r="6" spans="1:3" x14ac:dyDescent="0.3">
      <c r="A6" s="7" t="s">
        <v>33</v>
      </c>
      <c r="B6" s="52">
        <v>3.0241935483870967E-3</v>
      </c>
      <c r="C6" s="52">
        <v>8.4911769467378981E-2</v>
      </c>
    </row>
    <row r="7" spans="1:3" x14ac:dyDescent="0.3">
      <c r="A7" s="7" t="s">
        <v>34</v>
      </c>
      <c r="B7" s="52">
        <v>9.6681749622926097E-2</v>
      </c>
      <c r="C7" s="52">
        <v>0.15902032123524715</v>
      </c>
    </row>
    <row r="8" spans="1:3" x14ac:dyDescent="0.3">
      <c r="A8" s="7" t="s">
        <v>35</v>
      </c>
      <c r="B8" s="52">
        <v>0.16886109282422646</v>
      </c>
      <c r="C8" s="52">
        <v>4.1722988195007658E-2</v>
      </c>
    </row>
  </sheetData>
  <pageMargins left="0.7" right="0.7" top="0.75" bottom="0.75" header="0.3" footer="0.3"/>
  <pageSetup orientation="portrait"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32B41-72B2-474F-962D-77EF6472B606}">
  <sheetPr published="0"/>
  <dimension ref="A3:C8"/>
  <sheetViews>
    <sheetView workbookViewId="0">
      <selection activeCell="D6" sqref="D6"/>
    </sheetView>
  </sheetViews>
  <sheetFormatPr defaultRowHeight="14.4" x14ac:dyDescent="0.3"/>
  <cols>
    <col min="1" max="1" width="20.88671875" bestFit="1" customWidth="1"/>
    <col min="2" max="2" width="15.5546875" bestFit="1" customWidth="1"/>
    <col min="3" max="3" width="4.88671875" bestFit="1" customWidth="1"/>
    <col min="4" max="4" width="11" bestFit="1" customWidth="1"/>
    <col min="5" max="5" width="7.6640625" bestFit="1" customWidth="1"/>
    <col min="6" max="6" width="11" bestFit="1" customWidth="1"/>
  </cols>
  <sheetData>
    <row r="3" spans="1:3" x14ac:dyDescent="0.3">
      <c r="A3" s="6" t="s">
        <v>29</v>
      </c>
      <c r="B3" s="6" t="s">
        <v>27</v>
      </c>
    </row>
    <row r="4" spans="1:3" x14ac:dyDescent="0.3">
      <c r="A4" s="6" t="s">
        <v>24</v>
      </c>
      <c r="B4" t="s">
        <v>13</v>
      </c>
      <c r="C4" t="s">
        <v>12</v>
      </c>
    </row>
    <row r="5" spans="1:3" x14ac:dyDescent="0.3">
      <c r="A5" s="7" t="s">
        <v>32</v>
      </c>
      <c r="B5" s="8">
        <v>1.2884142250055917</v>
      </c>
      <c r="C5" s="8">
        <v>2.3560406473466315</v>
      </c>
    </row>
    <row r="6" spans="1:3" x14ac:dyDescent="0.3">
      <c r="A6" s="7" t="s">
        <v>33</v>
      </c>
      <c r="B6" s="8">
        <v>1.2536547260350408</v>
      </c>
      <c r="C6" s="8">
        <v>2.2212342166103505</v>
      </c>
    </row>
    <row r="7" spans="1:3" x14ac:dyDescent="0.3">
      <c r="A7" s="7" t="s">
        <v>34</v>
      </c>
      <c r="B7" s="8">
        <v>1.3103032957407206</v>
      </c>
      <c r="C7" s="8">
        <v>2.1927292167869554</v>
      </c>
    </row>
    <row r="8" spans="1:3" x14ac:dyDescent="0.3">
      <c r="A8" s="7" t="s">
        <v>35</v>
      </c>
      <c r="B8" s="8">
        <v>1.3170222124477677</v>
      </c>
      <c r="C8" s="8">
        <v>2.2110543251940187</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CDF56-FDA0-4C80-A041-86DA9AFAC9AF}">
  <sheetPr published="0"/>
  <dimension ref="A3:C8"/>
  <sheetViews>
    <sheetView workbookViewId="0">
      <selection activeCell="H9" sqref="H9"/>
    </sheetView>
  </sheetViews>
  <sheetFormatPr defaultRowHeight="14.4" x14ac:dyDescent="0.3"/>
  <cols>
    <col min="1" max="1" width="22.5546875" bestFit="1" customWidth="1"/>
    <col min="2" max="2" width="15.5546875" bestFit="1" customWidth="1"/>
    <col min="3" max="3" width="7.109375" bestFit="1" customWidth="1"/>
    <col min="4" max="4" width="11" bestFit="1" customWidth="1"/>
  </cols>
  <sheetData>
    <row r="3" spans="1:3" x14ac:dyDescent="0.3">
      <c r="A3" s="6" t="s">
        <v>31</v>
      </c>
      <c r="B3" s="6" t="s">
        <v>27</v>
      </c>
    </row>
    <row r="4" spans="1:3" x14ac:dyDescent="0.3">
      <c r="A4" s="6" t="s">
        <v>24</v>
      </c>
      <c r="B4" t="s">
        <v>13</v>
      </c>
      <c r="C4" t="s">
        <v>12</v>
      </c>
    </row>
    <row r="5" spans="1:3" x14ac:dyDescent="0.3">
      <c r="A5" s="7" t="s">
        <v>32</v>
      </c>
      <c r="B5" s="52">
        <v>0.69702852023294015</v>
      </c>
      <c r="C5" s="52">
        <v>0.63176380489608364</v>
      </c>
    </row>
    <row r="6" spans="1:3" x14ac:dyDescent="0.3">
      <c r="A6" s="7" t="s">
        <v>33</v>
      </c>
      <c r="B6" s="52">
        <v>0.71516488025026925</v>
      </c>
      <c r="C6" s="52">
        <v>0.63020627519165417</v>
      </c>
    </row>
    <row r="7" spans="1:3" x14ac:dyDescent="0.3">
      <c r="A7" s="7" t="s">
        <v>34</v>
      </c>
      <c r="B7" s="52">
        <v>0.69826773216856108</v>
      </c>
      <c r="C7" s="52">
        <v>0.62937581033524725</v>
      </c>
    </row>
    <row r="8" spans="1:3" x14ac:dyDescent="0.3">
      <c r="A8" s="7" t="s">
        <v>35</v>
      </c>
      <c r="B8" s="52">
        <v>0.69770999901293063</v>
      </c>
      <c r="C8" s="52">
        <v>0.6387818147024249</v>
      </c>
    </row>
  </sheetData>
  <pageMargins left="0.7" right="0.7" top="0.75" bottom="0.75" header="0.3" footer="0.3"/>
  <pageSetup orientation="portrait"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47654A080478C49BDC215AE73ED6C6E" ma:contentTypeVersion="5" ma:contentTypeDescription="Create a new document." ma:contentTypeScope="" ma:versionID="cc85838d7d913577a1f311d802ace43e">
  <xsd:schema xmlns:xsd="http://www.w3.org/2001/XMLSchema" xmlns:xs="http://www.w3.org/2001/XMLSchema" xmlns:p="http://schemas.microsoft.com/office/2006/metadata/properties" xmlns:ns3="dcd9c3b5-ca70-48fb-9b81-731d3b2c9d74" targetNamespace="http://schemas.microsoft.com/office/2006/metadata/properties" ma:root="true" ma:fieldsID="b802992c0d76cffe449344fba9e79347" ns3:_="">
    <xsd:import namespace="dcd9c3b5-ca70-48fb-9b81-731d3b2c9d74"/>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cd9c3b5-ca70-48fb-9b81-731d3b2c9d74"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_activity xmlns="dcd9c3b5-ca70-48fb-9b81-731d3b2c9d74"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32292DE-E8AC-4C82-BB41-7D29106721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cd9c3b5-ca70-48fb-9b81-731d3b2c9d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D291384-AEF0-44F6-BB1E-CE821EF0EB8E}">
  <ds:schemaRefs>
    <ds:schemaRef ds:uri="http://schemas.microsoft.com/DataMashup"/>
  </ds:schemaRefs>
</ds:datastoreItem>
</file>

<file path=customXml/itemProps3.xml><?xml version="1.0" encoding="utf-8"?>
<ds:datastoreItem xmlns:ds="http://schemas.openxmlformats.org/officeDocument/2006/customXml" ds:itemID="{C2170077-C92B-4498-9291-CA108101515F}">
  <ds:schemaRefs>
    <ds:schemaRef ds:uri="http://www.w3.org/XML/1998/namespace"/>
    <ds:schemaRef ds:uri="dcd9c3b5-ca70-48fb-9b81-731d3b2c9d74"/>
    <ds:schemaRef ds:uri="http://purl.org/dc/terms/"/>
    <ds:schemaRef ds:uri="http://schemas.microsoft.com/office/2006/metadata/properties"/>
    <ds:schemaRef ds:uri="http://schemas.microsoft.com/office/infopath/2007/PartnerControls"/>
    <ds:schemaRef ds:uri="http://schemas.microsoft.com/office/2006/documentManagement/types"/>
    <ds:schemaRef ds:uri="http://purl.org/dc/elements/1.1/"/>
    <ds:schemaRef ds:uri="http://purl.org/dc/dcmitype/"/>
    <ds:schemaRef ds:uri="http://schemas.openxmlformats.org/package/2006/metadata/core-properties"/>
  </ds:schemaRefs>
</ds:datastoreItem>
</file>

<file path=customXml/itemProps4.xml><?xml version="1.0" encoding="utf-8"?>
<ds:datastoreItem xmlns:ds="http://schemas.openxmlformats.org/officeDocument/2006/customXml" ds:itemID="{D0091FF5-AF82-43CF-96A2-5725F147D95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Project Summary</vt:lpstr>
      <vt:lpstr>Dashboard</vt:lpstr>
      <vt:lpstr>Clean_Financials</vt:lpstr>
      <vt:lpstr>KPI</vt:lpstr>
      <vt:lpstr>Revenue Trend</vt:lpstr>
      <vt:lpstr>Gross Margin Trend</vt:lpstr>
      <vt:lpstr>Operating Margin</vt:lpstr>
      <vt:lpstr>Net profit Margin Trend</vt:lpstr>
      <vt:lpstr>Operating Cash Flow </vt:lpstr>
      <vt:lpstr>Financial Health A</vt:lpstr>
      <vt:lpstr>Financial Health 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Hari,Lasya</dc:creator>
  <cp:lastModifiedBy>Hari,Lasya</cp:lastModifiedBy>
  <cp:lastPrinted>2026-10-13T22:55:48Z</cp:lastPrinted>
  <dcterms:created xsi:type="dcterms:W3CDTF">2026-06-22T15:44:01Z</dcterms:created>
  <dcterms:modified xsi:type="dcterms:W3CDTF">2026-10-26T20:36:17Z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0x010100D47654A080478C49BDC215AE73ED6C6E</vt:lpwstr>
  </property>
</Properties>
</file>